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description" sheetId="1" r:id="rId5"/>
    <sheet state="visible" name="My_Reports" sheetId="2" r:id="rId6"/>
  </sheets>
  <definedNames/>
  <calcPr/>
</workbook>
</file>

<file path=xl/sharedStrings.xml><?xml version="1.0" encoding="utf-8"?>
<sst xmlns="http://schemas.openxmlformats.org/spreadsheetml/2006/main" count="809" uniqueCount="254">
  <si>
    <t>Title</t>
  </si>
  <si>
    <t>Description</t>
  </si>
  <si>
    <t>Summary</t>
  </si>
  <si>
    <t>Igbo Translations</t>
  </si>
  <si>
    <t>Category</t>
  </si>
  <si>
    <t>Price</t>
  </si>
  <si>
    <t>Discount Percentage</t>
  </si>
  <si>
    <t>Rating</t>
  </si>
  <si>
    <t>Stock</t>
  </si>
  <si>
    <t>Tags</t>
  </si>
  <si>
    <t>Brand</t>
  </si>
  <si>
    <t>Weight</t>
  </si>
  <si>
    <t>Warranty Information</t>
  </si>
  <si>
    <t>Shipping Information</t>
  </si>
  <si>
    <t>Availability Status</t>
  </si>
  <si>
    <t>Ratings</t>
  </si>
  <si>
    <t>Reviews</t>
  </si>
  <si>
    <t>Date/Time</t>
  </si>
  <si>
    <t>Emails</t>
  </si>
  <si>
    <t>Sentiment Analyses</t>
  </si>
  <si>
    <t>Return Policy</t>
  </si>
  <si>
    <t>Minimum Order Quantity</t>
  </si>
  <si>
    <t>Essence Mascara Lash Princess</t>
  </si>
  <si>
    <t>beauty</t>
  </si>
  <si>
    <t>['beauty',   'mascara']</t>
  </si>
  <si>
    <t>Essence</t>
  </si>
  <si>
    <t>1 week warranty</t>
  </si>
  <si>
    <t>Ships in 3-5 business days</t>
  </si>
  <si>
    <t>In Stock</t>
  </si>
  <si>
    <t>No return policy</t>
  </si>
  <si>
    <t>Eyeshadow Palette with Mirror</t>
  </si>
  <si>
    <t>['beauty',   'eyeshadow']</t>
  </si>
  <si>
    <t>Glamour Beauty</t>
  </si>
  <si>
    <t>1 year warranty</t>
  </si>
  <si>
    <t>Ships in 2 weeks</t>
  </si>
  <si>
    <t>7 days return policy</t>
  </si>
  <si>
    <t>Powder Canister</t>
  </si>
  <si>
    <t>['beauty',   'face powder']</t>
  </si>
  <si>
    <t>Velvet Touch</t>
  </si>
  <si>
    <t>3 months warranty</t>
  </si>
  <si>
    <t>Ships in 1-2 business days</t>
  </si>
  <si>
    <t>Red Lipstick</t>
  </si>
  <si>
    <t>['beauty',   'lipstick']</t>
  </si>
  <si>
    <t>Chic Cosmetics</t>
  </si>
  <si>
    <t>3 year warranty</t>
  </si>
  <si>
    <t>Ships in 1 week</t>
  </si>
  <si>
    <t>Red Nail Polish</t>
  </si>
  <si>
    <t>['beauty',   'nail polish']</t>
  </si>
  <si>
    <t>Nail Couture</t>
  </si>
  <si>
    <t>1 month warranty</t>
  </si>
  <si>
    <t>Ships overnight</t>
  </si>
  <si>
    <t>Calvin Klein CK One</t>
  </si>
  <si>
    <t>fragrances</t>
  </si>
  <si>
    <t>['fragrances',   'perfumes']</t>
  </si>
  <si>
    <t>Calvin Klein</t>
  </si>
  <si>
    <t>90 days return policy</t>
  </si>
  <si>
    <t>Chanel Coco Noir Eau De</t>
  </si>
  <si>
    <t>Chanel</t>
  </si>
  <si>
    <t>Dior J'adore</t>
  </si>
  <si>
    <t>Dior</t>
  </si>
  <si>
    <t>Dolce Shine Eau de</t>
  </si>
  <si>
    <t>Dolce &amp; Gabbana</t>
  </si>
  <si>
    <t>Ships in 1 month</t>
  </si>
  <si>
    <t>Low Stock</t>
  </si>
  <si>
    <t>Gucci Bloom Eau de</t>
  </si>
  <si>
    <t>Gucci</t>
  </si>
  <si>
    <t>6 months warranty</t>
  </si>
  <si>
    <t>Annibale Colombo Bed</t>
  </si>
  <si>
    <t>furniture</t>
  </si>
  <si>
    <t>['furniture',   'beds']</t>
  </si>
  <si>
    <t>Annibale Colombo</t>
  </si>
  <si>
    <t>Annibale Colombo Sofa</t>
  </si>
  <si>
    <t>['furniture',   'sofas']</t>
  </si>
  <si>
    <t>Lifetime warranty</t>
  </si>
  <si>
    <t>Bedside Table African Cherry</t>
  </si>
  <si>
    <t>['furniture',   'bedside tables']</t>
  </si>
  <si>
    <t>Furniture Co.</t>
  </si>
  <si>
    <t>5 year warranty</t>
  </si>
  <si>
    <t>Knoll Saarinen Executive Conference Chair</t>
  </si>
  <si>
    <t>['furniture',   'office chairs']</t>
  </si>
  <si>
    <t>Knoll</t>
  </si>
  <si>
    <t>2 year warranty</t>
  </si>
  <si>
    <t>60 days return policy</t>
  </si>
  <si>
    <t>Wooden Bathroom Sink With Mirror</t>
  </si>
  <si>
    <t>['furniture',   'bathroom']</t>
  </si>
  <si>
    <t>Bath Trends</t>
  </si>
  <si>
    <t>Apple</t>
  </si>
  <si>
    <t>groceries</t>
  </si>
  <si>
    <t>['fruits']</t>
  </si>
  <si>
    <t>Beef Steak</t>
  </si>
  <si>
    <t>['meat']</t>
  </si>
  <si>
    <t>Cat Food</t>
  </si>
  <si>
    <t>['pet supplies',   'cat food']</t>
  </si>
  <si>
    <t>Chicken Meat</t>
  </si>
  <si>
    <t>Cooking Oil</t>
  </si>
  <si>
    <t>['cooking essentials']</t>
  </si>
  <si>
    <t>30 days return policy</t>
  </si>
  <si>
    <t>Cucumber</t>
  </si>
  <si>
    <t>['vegetables']</t>
  </si>
  <si>
    <t>Dog Food</t>
  </si>
  <si>
    <t>['pet supplies',   'dog food']</t>
  </si>
  <si>
    <t>No warranty</t>
  </si>
  <si>
    <t>Eggs</t>
  </si>
  <si>
    <t>['dairy']</t>
  </si>
  <si>
    <t>Fish Steak</t>
  </si>
  <si>
    <t>['seafood']</t>
  </si>
  <si>
    <t>Green Bell Pepper</t>
  </si>
  <si>
    <t>Green Chili Pepper</t>
  </si>
  <si>
    <t>Honey Jar</t>
  </si>
  <si>
    <t>['condiments']</t>
  </si>
  <si>
    <t>Ice Cream</t>
  </si>
  <si>
    <t>['desserts']</t>
  </si>
  <si>
    <t>Juice</t>
  </si>
  <si>
    <t>['beverages']</t>
  </si>
  <si>
    <t>Kiwi</t>
  </si>
  <si>
    <t>Lemon</t>
  </si>
  <si>
    <t>Milk</t>
  </si>
  <si>
    <t>Mulberry</t>
  </si>
  <si>
    <t>Nescafe Coffee</t>
  </si>
  <si>
    <t>['beverages',   'coffee']</t>
  </si>
  <si>
    <t>Potatoes</t>
  </si>
  <si>
    <t>Protein Powder</t>
  </si>
  <si>
    <t>['health supplements']</t>
  </si>
  <si>
    <t>Red Onions</t>
  </si>
  <si>
    <t>Rice</t>
  </si>
  <si>
    <t>['grains']</t>
  </si>
  <si>
    <t>Soft Drinks</t>
  </si>
  <si>
    <t>Strawberry</t>
  </si>
  <si>
    <t>Tissue Paper Box</t>
  </si>
  <si>
    <t>['household essentials']</t>
  </si>
  <si>
    <t>Water</t>
  </si>
  <si>
    <t>Decoration Swing</t>
  </si>
  <si>
    <t>home-decoration</t>
  </si>
  <si>
    <t>['home decor',   'swing']</t>
  </si>
  <si>
    <t>Family Tree Photo Frame</t>
  </si>
  <si>
    <t>['home decor',   'photo frame']</t>
  </si>
  <si>
    <t>House Showpiece Plant</t>
  </si>
  <si>
    <t>['home decor',   'artificial plants']</t>
  </si>
  <si>
    <t>Plant Pot</t>
  </si>
  <si>
    <t>['home decor',   'plant accessories']</t>
  </si>
  <si>
    <t>Table Lamp</t>
  </si>
  <si>
    <t>['home decor',   'lighting']</t>
  </si>
  <si>
    <t>Bamboo Spatula</t>
  </si>
  <si>
    <t>kitchen-accessories</t>
  </si>
  <si>
    <t>['kitchen tools',   'utensils']</t>
  </si>
  <si>
    <t>Black Aluminium Cup</t>
  </si>
  <si>
    <t>['drinkware',   'cups']</t>
  </si>
  <si>
    <t>Black Whisk</t>
  </si>
  <si>
    <t>Boxed Blender</t>
  </si>
  <si>
    <t>['kitchen appliances',   'blenders']</t>
  </si>
  <si>
    <t>Carbon Steel Wok</t>
  </si>
  <si>
    <t>['cookware',   'woks']</t>
  </si>
  <si>
    <t>Chopping Board</t>
  </si>
  <si>
    <t>['kitchen tools',   'cutting boards']</t>
  </si>
  <si>
    <t>Citrus Squeezer Yellow</t>
  </si>
  <si>
    <t>['kitchen tools',   'juicers']</t>
  </si>
  <si>
    <t>Egg Slicer</t>
  </si>
  <si>
    <t>['kitchen tools',   'slicers']</t>
  </si>
  <si>
    <t>Electric Stove</t>
  </si>
  <si>
    <t>['kitchen appliances',   'cooktops']</t>
  </si>
  <si>
    <t>Fine Mesh Strainer</t>
  </si>
  <si>
    <t>['kitchen tools',   'strainers']</t>
  </si>
  <si>
    <t>Fork</t>
  </si>
  <si>
    <t>Glass</t>
  </si>
  <si>
    <t>['drinkware',   'glasses']</t>
  </si>
  <si>
    <t>Grater Black</t>
  </si>
  <si>
    <t>['kitchen tools',   'graters']</t>
  </si>
  <si>
    <t>Hand Blender</t>
  </si>
  <si>
    <t>Ice Cube Tray</t>
  </si>
  <si>
    <t>['kitchen tools',   'ice cube trays']</t>
  </si>
  <si>
    <t>Kitchen Sieve</t>
  </si>
  <si>
    <t>Knife</t>
  </si>
  <si>
    <t>['kitchen tools',   'cutlery']</t>
  </si>
  <si>
    <t>Lunch Box</t>
  </si>
  <si>
    <t>['kitchen tools',   'storage']</t>
  </si>
  <si>
    <t>Microwave Oven</t>
  </si>
  <si>
    <t>['kitchen appliances',   'microwaves']</t>
  </si>
  <si>
    <t>Mug Tree Stand</t>
  </si>
  <si>
    <t>['kitchen tools',   'organization']</t>
  </si>
  <si>
    <t>Pan</t>
  </si>
  <si>
    <t>['cookware',   'pans']</t>
  </si>
  <si>
    <t>Plate</t>
  </si>
  <si>
    <t>['dinnerware',   'plates']</t>
  </si>
  <si>
    <t>Red Tongs</t>
  </si>
  <si>
    <t>['kitchen tools',   'tongs']</t>
  </si>
  <si>
    <t>Silver Pot With Glass Cap</t>
  </si>
  <si>
    <t>['cookware',   'pots']</t>
  </si>
  <si>
    <t>Slotted Turner</t>
  </si>
  <si>
    <t>['kitchen tools',   'turners']</t>
  </si>
  <si>
    <t>Spice Rack</t>
  </si>
  <si>
    <t>Spoon</t>
  </si>
  <si>
    <t>Tray</t>
  </si>
  <si>
    <t>['serveware',   'trays']</t>
  </si>
  <si>
    <t>Wooden Rolling Pin</t>
  </si>
  <si>
    <t>['kitchen tools',   'baking']</t>
  </si>
  <si>
    <t>Yellow Peeler</t>
  </si>
  <si>
    <t>['kitchen tools',   'peelers']</t>
  </si>
  <si>
    <t>Apple MacBook Pro 14 Inch Space Grey</t>
  </si>
  <si>
    <t>laptops</t>
  </si>
  <si>
    <t>['laptops',   'apple']</t>
  </si>
  <si>
    <t>Asus Zenbook Pro Dual Screen Laptop</t>
  </si>
  <si>
    <t>['laptops']</t>
  </si>
  <si>
    <t>Asus</t>
  </si>
  <si>
    <t>Huawei Matebook X Pro</t>
  </si>
  <si>
    <t>Huawei</t>
  </si>
  <si>
    <t>Lenovo Yoga 920</t>
  </si>
  <si>
    <t>Lenovo</t>
  </si>
  <si>
    <t>New DELL XPS 13 9300 Laptop</t>
  </si>
  <si>
    <t>Dell</t>
  </si>
  <si>
    <t>Blue &amp; Black Check Shirt</t>
  </si>
  <si>
    <t>mens-shirts</t>
  </si>
  <si>
    <t>['clothing',   "men's shirts"]</t>
  </si>
  <si>
    <t>Fashion Trends</t>
  </si>
  <si>
    <t>Gigabyte Aorus Men Tshirt</t>
  </si>
  <si>
    <t>['clothing',   "men's t-shirts"]</t>
  </si>
  <si>
    <t>Gigabyte</t>
  </si>
  <si>
    <t>Man Plaid Shirt</t>
  </si>
  <si>
    <t>Classic Wear</t>
  </si>
  <si>
    <t>Man Short Sleeve Shirt</t>
  </si>
  <si>
    <t>Casual Comfort</t>
  </si>
  <si>
    <t>Men Check Shirt</t>
  </si>
  <si>
    <t>Urban Chic</t>
  </si>
  <si>
    <t>Nike Air Jordan 1 Red And Black</t>
  </si>
  <si>
    <t>mens-shoes</t>
  </si>
  <si>
    <t>['footwear',   'athletic shoes']</t>
  </si>
  <si>
    <t>Nike</t>
  </si>
  <si>
    <t>Nike Baseball Cleats</t>
  </si>
  <si>
    <t>['footwear',   'sports cleats']</t>
  </si>
  <si>
    <t>Puma Future Rider Trainers</t>
  </si>
  <si>
    <t>['footwear',   'casual shoes']</t>
  </si>
  <si>
    <t>Puma</t>
  </si>
  <si>
    <t>Sports Sneakers Off White &amp; Red</t>
  </si>
  <si>
    <t>Off White</t>
  </si>
  <si>
    <t>Sports Sneakers Off White Red</t>
  </si>
  <si>
    <t>Brown Leather Belt Watch</t>
  </si>
  <si>
    <t>mens-watches</t>
  </si>
  <si>
    <t>['watches',   'leather watches']</t>
  </si>
  <si>
    <t>Fashion Timepieces</t>
  </si>
  <si>
    <t>Longines Master Collection</t>
  </si>
  <si>
    <t>['watches',   'luxury watches']</t>
  </si>
  <si>
    <t>Longines</t>
  </si>
  <si>
    <t>Rolex Cellini Date Black Dial</t>
  </si>
  <si>
    <t>Rolex</t>
  </si>
  <si>
    <t>Rolex Cellini Moonphase</t>
  </si>
  <si>
    <t>Rolex Datejust</t>
  </si>
  <si>
    <t>Rolex Submariner Watch</t>
  </si>
  <si>
    <t>Amazon Echo Plus</t>
  </si>
  <si>
    <t>mobile-accessories</t>
  </si>
  <si>
    <t>['electronics',   'smart speakers']</t>
  </si>
  <si>
    <t>Amazon</t>
  </si>
  <si>
    <t>Apple Airpods</t>
  </si>
  <si>
    <t>['electronics',   'wireless earphones']</t>
  </si>
  <si>
    <r>
      <rPr>
        <rFont val="Arial"/>
        <color theme="1"/>
      </rPr>
      <t xml:space="preserve">This report provides an overview of the product dataset, covering 100 items across various categories, pricing tiers, and customer ratings.
</t>
    </r>
    <r>
      <rPr>
        <rFont val="Arial"/>
        <b/>
        <color rgb="FF38761D"/>
        <sz val="17.0"/>
      </rPr>
      <t>Key Takeaways</t>
    </r>
    <r>
      <rPr>
        <rFont val="Arial"/>
        <color theme="1"/>
      </rPr>
      <t xml:space="preserve">
• </t>
    </r>
    <r>
      <rPr>
        <rFont val="Arial"/>
        <b/>
        <color theme="1"/>
        <sz val="11.0"/>
      </rPr>
      <t>Category Concentration:</t>
    </r>
    <r>
      <rPr>
        <rFont val="Arial"/>
        <color theme="1"/>
      </rPr>
      <t xml:space="preserve"> </t>
    </r>
    <r>
      <rPr>
        <rFont val="Arial"/>
        <color theme="1"/>
        <sz val="11.0"/>
      </rPr>
      <t>The inventory is heavily weighted towards everyday essentials. Kitchen accessories (30 products) and groceries (27 products) are the most prominent categories, together making up 57% of the total selection.:</t>
    </r>
    <r>
      <rPr>
        <rFont val="Arial"/>
        <color theme="1"/>
      </rPr>
      <t xml:space="preserve">
• </t>
    </r>
    <r>
      <rPr>
        <rFont val="Arial"/>
        <b/>
        <color theme="1"/>
        <sz val="12.0"/>
      </rPr>
      <t>Significant Price Variance</t>
    </r>
    <r>
      <rPr>
        <rFont val="Arial"/>
        <color theme="1"/>
      </rPr>
      <t>:</t>
    </r>
    <r>
      <rPr>
        <rFont val="Arial"/>
        <color theme="1"/>
        <sz val="11.0"/>
      </rPr>
      <t xml:space="preserve"> While the average product price is approximately $646.68, this is heavily skewed by luxury items. For instance, the </t>
    </r>
    <r>
      <rPr>
        <rFont val="Arial"/>
        <b/>
        <color theme="1"/>
        <sz val="11.0"/>
      </rPr>
      <t>mens-watches</t>
    </r>
    <r>
      <rPr>
        <rFont val="Arial"/>
        <color theme="1"/>
        <sz val="11.0"/>
      </rPr>
      <t xml:space="preserve"> category averages over $8,000 due to high-end Rolex models, whereas </t>
    </r>
    <r>
      <rPr>
        <rFont val="Arial"/>
        <b/>
        <color theme="1"/>
        <sz val="11.0"/>
      </rPr>
      <t>groceries</t>
    </r>
    <r>
      <rPr>
        <rFont val="Arial"/>
        <color theme="1"/>
        <sz val="11.0"/>
      </rPr>
      <t xml:space="preserve"> maintain a low average of about $5.47</t>
    </r>
    <r>
      <rPr>
        <rFont val="Arial"/>
        <color theme="1"/>
      </rPr>
      <t xml:space="preserve">.
• </t>
    </r>
    <r>
      <rPr>
        <rFont val="Arial"/>
        <b/>
        <color theme="1"/>
        <sz val="13.0"/>
      </rPr>
      <t>Strong Customer Satisfaction</t>
    </r>
    <r>
      <rPr>
        <rFont val="Arial"/>
        <color theme="1"/>
      </rPr>
      <t xml:space="preserve">: </t>
    </r>
    <r>
      <rPr>
        <rFont val="Arial"/>
        <color theme="1"/>
        <sz val="11.0"/>
      </rPr>
      <t xml:space="preserve">The dataset shows a healthy average rating of 3.85 out of 5. Top-performing items like the </t>
    </r>
    <r>
      <rPr>
        <rFont val="Arial"/>
        <b/>
        <color theme="1"/>
        <sz val="11.0"/>
      </rPr>
      <t>Amazon Echo Plus</t>
    </r>
    <r>
      <rPr>
        <rFont val="Arial"/>
        <color theme="1"/>
        <sz val="11.0"/>
      </rPr>
      <t xml:space="preserve"> and </t>
    </r>
    <r>
      <rPr>
        <rFont val="Arial"/>
        <b/>
        <color theme="1"/>
        <sz val="11.0"/>
      </rPr>
      <t>Huawei Matebook X Pro</t>
    </r>
    <r>
      <rPr>
        <rFont val="Arial"/>
        <color theme="1"/>
        <sz val="11.0"/>
      </rPr>
      <t xml:space="preserve"> boast near-perfect ratings (4.99 and 4.98, respectively), indicating high satisfaction for tech and electronics.
</t>
    </r>
    <r>
      <rPr>
        <rFont val="Arial"/>
        <color theme="1"/>
      </rPr>
      <t xml:space="preserve">
</t>
    </r>
    <r>
      <rPr>
        <rFont val="Arial"/>
        <b/>
        <color rgb="FF274E13"/>
        <sz val="17.0"/>
      </rPr>
      <t>Product Inventory and Pricing</t>
    </r>
    <r>
      <rPr>
        <rFont val="Arial"/>
        <color theme="1"/>
      </rPr>
      <t xml:space="preserve">
</t>
    </r>
    <r>
      <rPr>
        <rFont val="Arial"/>
        <color theme="1"/>
        <sz val="11.0"/>
      </rPr>
      <t>The dataset includes a total stock of 5,440 units. The distribution of products and their average costs vary significantly by category, as shown in the charts.</t>
    </r>
    <r>
      <rPr>
        <rFont val="Arial"/>
        <color theme="1"/>
      </rPr>
      <t xml:space="preserve">
</t>
    </r>
    <r>
      <rPr>
        <rFont val="Arial"/>
        <b/>
        <color rgb="FF274E13"/>
        <sz val="17.0"/>
      </rPr>
      <t>Top 5 Most Expensive Products</t>
    </r>
    <r>
      <rPr>
        <rFont val="Arial"/>
        <color theme="1"/>
      </rPr>
      <t xml:space="preserve">
T</t>
    </r>
    <r>
      <rPr>
        <rFont val="Arial"/>
        <color theme="1"/>
        <sz val="11.0"/>
      </rPr>
      <t xml:space="preserve">he highest-priced items in the catalog are exclusively luxury watches and high-end furniture:
1. </t>
    </r>
    <r>
      <rPr>
        <rFont val="Arial"/>
        <b/>
        <color theme="1"/>
        <sz val="11.0"/>
      </rPr>
      <t>Rolex Submariner Watch</t>
    </r>
    <r>
      <rPr>
        <rFont val="Arial"/>
        <color theme="1"/>
        <sz val="11.0"/>
      </rPr>
      <t xml:space="preserve">: $13,999.99
2. </t>
    </r>
    <r>
      <rPr>
        <rFont val="Arial"/>
        <b/>
        <color theme="1"/>
        <sz val="11.0"/>
      </rPr>
      <t>Rolex Cellini Moonphase</t>
    </r>
    <r>
      <rPr>
        <rFont val="Arial"/>
        <color theme="1"/>
        <sz val="11.0"/>
      </rPr>
      <t xml:space="preserve">: $12,999.99
3. </t>
    </r>
    <r>
      <rPr>
        <rFont val="Arial"/>
        <b/>
        <color theme="1"/>
        <sz val="11.0"/>
      </rPr>
      <t>Rolex Datejust</t>
    </r>
    <r>
      <rPr>
        <rFont val="Arial"/>
        <color theme="1"/>
        <sz val="11.0"/>
      </rPr>
      <t xml:space="preserve">: $10,999.99
4. </t>
    </r>
    <r>
      <rPr>
        <rFont val="Arial"/>
        <b/>
        <color theme="1"/>
        <sz val="11.0"/>
      </rPr>
      <t>Rolex Cellini Date Black Dial</t>
    </r>
    <r>
      <rPr>
        <rFont val="Arial"/>
        <color theme="1"/>
        <sz val="11.0"/>
      </rPr>
      <t xml:space="preserve">: $8,999.99
5. </t>
    </r>
    <r>
      <rPr>
        <rFont val="Arial"/>
        <b/>
        <color theme="1"/>
        <sz val="11.0"/>
      </rPr>
      <t>Annibale Colombo Sofa</t>
    </r>
    <r>
      <rPr>
        <rFont val="Arial"/>
        <color theme="1"/>
        <sz val="11.0"/>
      </rPr>
      <t xml:space="preserve">: $2,499.99
</t>
    </r>
    <r>
      <rPr>
        <rFont val="Arial"/>
        <color theme="1"/>
      </rPr>
      <t xml:space="preserve">
</t>
    </r>
    <r>
      <rPr>
        <rFont val="Arial"/>
        <b/>
        <color rgb="FF274E13"/>
        <sz val="17.0"/>
      </rPr>
      <t>Top 5 Highest Rated Products</t>
    </r>
    <r>
      <rPr>
        <rFont val="Arial"/>
        <color theme="1"/>
      </rPr>
      <t xml:space="preserve">
</t>
    </r>
    <r>
      <rPr>
        <rFont val="Arial"/>
        <color theme="1"/>
        <sz val="11.0"/>
      </rPr>
      <t xml:space="preserve">These products have received the best feedback from customers:
1. </t>
    </r>
    <r>
      <rPr>
        <rFont val="Arial"/>
        <b/>
        <color theme="1"/>
        <sz val="11.0"/>
      </rPr>
      <t>Amazon Echo Plus</t>
    </r>
    <r>
      <rPr>
        <rFont val="Arial"/>
        <color theme="1"/>
        <sz val="11.0"/>
      </rPr>
      <t xml:space="preserve">: 4.99
2. </t>
    </r>
    <r>
      <rPr>
        <rFont val="Arial"/>
        <b/>
        <color theme="1"/>
        <sz val="11.0"/>
      </rPr>
      <t>Huawei Matebook X Pro</t>
    </r>
    <r>
      <rPr>
        <rFont val="Arial"/>
        <color theme="1"/>
        <sz val="11.0"/>
      </rPr>
      <t xml:space="preserve">: 4.98
3. </t>
    </r>
    <r>
      <rPr>
        <rFont val="Arial"/>
        <b/>
        <color theme="1"/>
        <sz val="11.0"/>
      </rPr>
      <t>Rolex Cellini Date Black Dial</t>
    </r>
    <r>
      <rPr>
        <rFont val="Arial"/>
        <color theme="1"/>
        <sz val="11.0"/>
      </rPr>
      <t xml:space="preserve">: 4.97
4. </t>
    </r>
    <r>
      <rPr>
        <rFont val="Arial"/>
        <b/>
        <color theme="1"/>
        <sz val="11.0"/>
      </rPr>
      <t>Water</t>
    </r>
    <r>
      <rPr>
        <rFont val="Arial"/>
        <color theme="1"/>
        <sz val="11.0"/>
      </rPr>
      <t xml:space="preserve">: 4.96
5. </t>
    </r>
    <r>
      <rPr>
        <rFont val="Arial"/>
        <b/>
        <color theme="1"/>
        <sz val="11.0"/>
      </rPr>
      <t>Mulberry</t>
    </r>
    <r>
      <rPr>
        <rFont val="Arial"/>
        <color theme="1"/>
        <sz val="11.0"/>
      </rPr>
      <t>: 4.95</t>
    </r>
    <r>
      <rPr>
        <rFont val="Arial"/>
        <color theme="1"/>
      </rPr>
      <t xml:space="preserve">
</t>
    </r>
    <r>
      <rPr>
        <rFont val="Arial"/>
        <b/>
        <color rgb="FF274E13"/>
        <sz val="17.0"/>
      </rPr>
      <t>Visual Analysis</t>
    </r>
    <r>
      <rPr>
        <rFont val="Arial"/>
        <color theme="1"/>
      </rPr>
      <t xml:space="preserve">
T</t>
    </r>
    <r>
      <rPr>
        <rFont val="Arial"/>
        <color theme="1"/>
        <sz val="11.0"/>
      </rPr>
      <t xml:space="preserve">he following charts illustrate the distribution of products across categories, the average price per category, and the overall spread of customer ratings.
</t>
    </r>
    <r>
      <rPr>
        <rFont val="Arial"/>
        <b/>
        <color theme="1"/>
        <sz val="11.0"/>
      </rPr>
      <t>Product Distribution by Category</t>
    </r>
    <r>
      <rPr>
        <rFont val="Arial"/>
        <color theme="1"/>
        <sz val="11.0"/>
      </rPr>
      <t xml:space="preserve">
This chart shows that kitchen accessories and groceries are the most frequent items in the dataset.
</t>
    </r>
    <r>
      <rPr>
        <rFont val="Arial"/>
        <b/>
        <color theme="1"/>
        <sz val="11.0"/>
      </rPr>
      <t>Average Price by Category</t>
    </r>
    <r>
      <rPr>
        <rFont val="Arial"/>
        <color theme="1"/>
        <sz val="11.0"/>
      </rPr>
      <t xml:space="preserve">
This visualization highlights the stark contrast in pricing between luxury categories like men's watches and everyday items like groceries.
</t>
    </r>
    <r>
      <rPr>
        <rFont val="Arial"/>
        <b/>
        <color theme="1"/>
        <sz val="11.0"/>
      </rPr>
      <t>Distribution of Product Ratings</t>
    </r>
    <r>
      <rPr>
        <rFont val="Arial"/>
        <color theme="1"/>
        <sz val="11.0"/>
      </rPr>
      <t xml:space="preserve">
This histogram displays how product ratings are distributed, showing a concentration of products in the 3.0 to 5.0 range.</t>
    </r>
  </si>
  <si>
    <t>Rating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</si>
</sst>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4">
    <tableStyle count="4" pivot="0" name="product_descrip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y_Report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My_Reports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My_Reports-style 3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Average Price by Category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My_Reports!$B$108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My_Reports!$A$109:$A$119</c:f>
            </c:strRef>
          </c:cat>
          <c:val>
            <c:numRef>
              <c:f>My_Reports!$B$109:$B$119</c:f>
              <c:numCache/>
            </c:numRef>
          </c:val>
        </c:ser>
        <c:ser>
          <c:idx val="1"/>
          <c:order val="1"/>
          <c:tx>
            <c:strRef>
              <c:f>My_Reports!$C$108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My_Reports!$A$109:$A$119</c:f>
            </c:strRef>
          </c:cat>
          <c:val>
            <c:numRef>
              <c:f>My_Reports!$C$109:$C$119</c:f>
              <c:numCache/>
            </c:numRef>
          </c:val>
        </c:ser>
        <c:ser>
          <c:idx val="2"/>
          <c:order val="2"/>
          <c:tx>
            <c:strRef>
              <c:f>My_Reports!$D$108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My_Reports!$A$109:$A$119</c:f>
            </c:strRef>
          </c:cat>
          <c:val>
            <c:numRef>
              <c:f>My_Reports!$D$109:$D$119</c:f>
              <c:numCache/>
            </c:numRef>
          </c:val>
        </c:ser>
        <c:ser>
          <c:idx val="3"/>
          <c:order val="3"/>
          <c:tx>
            <c:strRef>
              <c:f>My_Reports!$E$108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My_Reports!$A$109:$A$119</c:f>
            </c:strRef>
          </c:cat>
          <c:val>
            <c:numRef>
              <c:f>My_Reports!$E$109:$E$119</c:f>
              <c:numCache/>
            </c:numRef>
          </c:val>
        </c:ser>
        <c:ser>
          <c:idx val="4"/>
          <c:order val="4"/>
          <c:tx>
            <c:strRef>
              <c:f>My_Reports!$F$108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My_Reports!$A$109:$A$119</c:f>
            </c:strRef>
          </c:cat>
          <c:val>
            <c:numRef>
              <c:f>My_Reports!$F$109:$F$119</c:f>
              <c:numCache/>
            </c:numRef>
          </c:val>
        </c:ser>
        <c:ser>
          <c:idx val="5"/>
          <c:order val="5"/>
          <c:tx>
            <c:strRef>
              <c:f>My_Reports!$G$108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My_Reports!$A$109:$A$119</c:f>
            </c:strRef>
          </c:cat>
          <c:val>
            <c:numRef>
              <c:f>My_Reports!$G$109:$G$119</c:f>
              <c:numCache/>
            </c:numRef>
          </c:val>
        </c:ser>
        <c:ser>
          <c:idx val="6"/>
          <c:order val="6"/>
          <c:tx>
            <c:strRef>
              <c:f>My_Reports!$H$108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My_Reports!$A$109:$A$119</c:f>
            </c:strRef>
          </c:cat>
          <c:val>
            <c:numRef>
              <c:f>My_Reports!$H$109:$H$119</c:f>
              <c:numCache/>
            </c:numRef>
          </c:val>
        </c:ser>
        <c:ser>
          <c:idx val="7"/>
          <c:order val="7"/>
          <c:tx>
            <c:strRef>
              <c:f>My_Reports!$I$108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My_Reports!$A$109:$A$119</c:f>
            </c:strRef>
          </c:cat>
          <c:val>
            <c:numRef>
              <c:f>My_Reports!$I$109:$I$119</c:f>
              <c:numCache/>
            </c:numRef>
          </c:val>
        </c:ser>
        <c:ser>
          <c:idx val="8"/>
          <c:order val="8"/>
          <c:tx>
            <c:strRef>
              <c:f>My_Reports!$J$108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My_Reports!$A$109:$A$119</c:f>
            </c:strRef>
          </c:cat>
          <c:val>
            <c:numRef>
              <c:f>My_Reports!$J$109:$J$119</c:f>
              <c:numCache/>
            </c:numRef>
          </c:val>
        </c:ser>
        <c:ser>
          <c:idx val="9"/>
          <c:order val="9"/>
          <c:tx>
            <c:strRef>
              <c:f>My_Reports!$K$108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My_Reports!$A$109:$A$119</c:f>
            </c:strRef>
          </c:cat>
          <c:val>
            <c:numRef>
              <c:f>My_Reports!$K$109:$K$119</c:f>
              <c:numCache/>
            </c:numRef>
          </c:val>
        </c:ser>
        <c:ser>
          <c:idx val="10"/>
          <c:order val="10"/>
          <c:tx>
            <c:strRef>
              <c:f>My_Reports!$L$108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My_Reports!$A$109:$A$119</c:f>
            </c:strRef>
          </c:cat>
          <c:val>
            <c:numRef>
              <c:f>My_Reports!$L$109:$L$119</c:f>
              <c:numCache/>
            </c:numRef>
          </c:val>
        </c:ser>
        <c:overlap val="100"/>
        <c:axId val="1568381114"/>
        <c:axId val="142313396"/>
      </c:barChart>
      <c:catAx>
        <c:axId val="15683811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313396"/>
      </c:catAx>
      <c:valAx>
        <c:axId val="1423133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Price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8381114"/>
      </c:valAx>
    </c:plotArea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Product Distribution by Category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My_Reports!$B$121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My_Reports!$A$122:$A$132</c:f>
            </c:strRef>
          </c:cat>
          <c:val>
            <c:numRef>
              <c:f>My_Reports!$B$122:$B$132</c:f>
              <c:numCache/>
            </c:numRef>
          </c:val>
        </c:ser>
        <c:ser>
          <c:idx val="1"/>
          <c:order val="1"/>
          <c:tx>
            <c:strRef>
              <c:f>My_Reports!$C$121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My_Reports!$A$122:$A$132</c:f>
            </c:strRef>
          </c:cat>
          <c:val>
            <c:numRef>
              <c:f>My_Reports!$C$122:$C$132</c:f>
              <c:numCache/>
            </c:numRef>
          </c:val>
        </c:ser>
        <c:ser>
          <c:idx val="2"/>
          <c:order val="2"/>
          <c:tx>
            <c:strRef>
              <c:f>My_Reports!$D$121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My_Reports!$A$122:$A$132</c:f>
            </c:strRef>
          </c:cat>
          <c:val>
            <c:numRef>
              <c:f>My_Reports!$D$122:$D$132</c:f>
              <c:numCache/>
            </c:numRef>
          </c:val>
        </c:ser>
        <c:ser>
          <c:idx val="3"/>
          <c:order val="3"/>
          <c:tx>
            <c:strRef>
              <c:f>My_Reports!$E$121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My_Reports!$A$122:$A$132</c:f>
            </c:strRef>
          </c:cat>
          <c:val>
            <c:numRef>
              <c:f>My_Reports!$E$122:$E$132</c:f>
              <c:numCache/>
            </c:numRef>
          </c:val>
        </c:ser>
        <c:ser>
          <c:idx val="4"/>
          <c:order val="4"/>
          <c:tx>
            <c:strRef>
              <c:f>My_Reports!$F$121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My_Reports!$A$122:$A$132</c:f>
            </c:strRef>
          </c:cat>
          <c:val>
            <c:numRef>
              <c:f>My_Reports!$F$122:$F$132</c:f>
              <c:numCache/>
            </c:numRef>
          </c:val>
        </c:ser>
        <c:ser>
          <c:idx val="5"/>
          <c:order val="5"/>
          <c:tx>
            <c:strRef>
              <c:f>My_Reports!$G$121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My_Reports!$A$122:$A$132</c:f>
            </c:strRef>
          </c:cat>
          <c:val>
            <c:numRef>
              <c:f>My_Reports!$G$122:$G$132</c:f>
              <c:numCache/>
            </c:numRef>
          </c:val>
        </c:ser>
        <c:ser>
          <c:idx val="6"/>
          <c:order val="6"/>
          <c:tx>
            <c:strRef>
              <c:f>My_Reports!$H$121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My_Reports!$A$122:$A$132</c:f>
            </c:strRef>
          </c:cat>
          <c:val>
            <c:numRef>
              <c:f>My_Reports!$H$122:$H$132</c:f>
              <c:numCache/>
            </c:numRef>
          </c:val>
        </c:ser>
        <c:ser>
          <c:idx val="7"/>
          <c:order val="7"/>
          <c:tx>
            <c:strRef>
              <c:f>My_Reports!$I$121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My_Reports!$A$122:$A$132</c:f>
            </c:strRef>
          </c:cat>
          <c:val>
            <c:numRef>
              <c:f>My_Reports!$I$122:$I$132</c:f>
              <c:numCache/>
            </c:numRef>
          </c:val>
        </c:ser>
        <c:ser>
          <c:idx val="8"/>
          <c:order val="8"/>
          <c:tx>
            <c:strRef>
              <c:f>My_Reports!$J$121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My_Reports!$A$122:$A$132</c:f>
            </c:strRef>
          </c:cat>
          <c:val>
            <c:numRef>
              <c:f>My_Reports!$J$122:$J$132</c:f>
              <c:numCache/>
            </c:numRef>
          </c:val>
        </c:ser>
        <c:ser>
          <c:idx val="9"/>
          <c:order val="9"/>
          <c:tx>
            <c:strRef>
              <c:f>My_Reports!$K$121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My_Reports!$A$122:$A$132</c:f>
            </c:strRef>
          </c:cat>
          <c:val>
            <c:numRef>
              <c:f>My_Reports!$K$122:$K$132</c:f>
              <c:numCache/>
            </c:numRef>
          </c:val>
        </c:ser>
        <c:ser>
          <c:idx val="10"/>
          <c:order val="10"/>
          <c:tx>
            <c:strRef>
              <c:f>My_Reports!$L$121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My_Reports!$A$122:$A$132</c:f>
            </c:strRef>
          </c:cat>
          <c:val>
            <c:numRef>
              <c:f>My_Reports!$L$122:$L$132</c:f>
              <c:numCache/>
            </c:numRef>
          </c:val>
        </c:ser>
        <c:overlap val="100"/>
        <c:axId val="34905728"/>
        <c:axId val="1064497019"/>
      </c:barChart>
      <c:catAx>
        <c:axId val="34905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4497019"/>
      </c:catAx>
      <c:valAx>
        <c:axId val="1064497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Products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905728"/>
      </c:valAx>
    </c:plotArea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562975" cy="2628900"/>
    <xdr:pic>
      <xdr:nvPicPr>
        <xdr:cNvPr id="9589645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287000" cy="28575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</xdr:row>
      <xdr:rowOff>228600</xdr:rowOff>
    </xdr:from>
    <xdr:ext cx="9753600" cy="24479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101" displayName="Product_Description" name="Product_Description" id="1">
  <tableColumns count="22">
    <tableColumn name="Title" id="1"/>
    <tableColumn name="Description" id="2"/>
    <tableColumn name="Summary" id="3"/>
    <tableColumn name="Igbo Translations" id="4"/>
    <tableColumn name="Category" id="5"/>
    <tableColumn name="Price" id="6"/>
    <tableColumn name="Discount Percentage" id="7"/>
    <tableColumn name="Rating" id="8"/>
    <tableColumn name="Stock" id="9"/>
    <tableColumn name="Tags" id="10"/>
    <tableColumn name="Brand" id="11"/>
    <tableColumn name="Weight" id="12"/>
    <tableColumn name="Warranty Information" id="13"/>
    <tableColumn name="Shipping Information" id="14"/>
    <tableColumn name="Availability Status" id="15"/>
    <tableColumn name="Ratings" id="16"/>
    <tableColumn name="Reviews" id="17"/>
    <tableColumn name="Date/Time" id="18"/>
    <tableColumn name="Emails" id="19"/>
    <tableColumn name="Sentiment Analyses" id="20"/>
    <tableColumn name="Return Policy" id="21"/>
    <tableColumn name="Minimum Order Quantity" id="22"/>
  </tableColumns>
  <tableStyleInfo name="product_description-style" showColumnStripes="0" showFirstColumn="1" showLastColumn="1" showRowStripes="1"/>
</table>
</file>

<file path=xl/tables/table2.xml><?xml version="1.0" encoding="utf-8"?>
<table xmlns="http://schemas.openxmlformats.org/spreadsheetml/2006/main" ref="A6:B106" displayName="Distribution_of_Product_Ratings2" name="Distribution_of_Product_Ratings2" id="2">
  <tableColumns count="2">
    <tableColumn name="Rating" id="1"/>
    <tableColumn name="Rating 2" id="2"/>
  </tableColumns>
  <tableStyleInfo name="My_Reports-style" showColumnStripes="0" showFirstColumn="1" showLastColumn="1" showRowStripes="1"/>
</table>
</file>

<file path=xl/tables/table3.xml><?xml version="1.0" encoding="utf-8"?>
<table xmlns="http://schemas.openxmlformats.org/spreadsheetml/2006/main" ref="A108:L119" displayName="Average_Price_by_Category2" name="Average_Price_by_Category2" id="3">
  <tableColumns count="12">
    <tableColumn name="Category" id="1"/>
    <tableColumn name="beauty" id="2"/>
    <tableColumn name="fragrances" id="3"/>
    <tableColumn name="furniture" id="4"/>
    <tableColumn name="groceries" id="5"/>
    <tableColumn name="home-decoration" id="6"/>
    <tableColumn name="kitchen-accessories" id="7"/>
    <tableColumn name="laptops" id="8"/>
    <tableColumn name="mens-shirts" id="9"/>
    <tableColumn name="mens-shoes" id="10"/>
    <tableColumn name="mens-watches" id="11"/>
    <tableColumn name="mobile-accessories" id="12"/>
  </tableColumns>
  <tableStyleInfo name="My_Reports-style 2" showColumnStripes="0" showFirstColumn="1" showLastColumn="1" showRowStripes="1"/>
</table>
</file>

<file path=xl/tables/table4.xml><?xml version="1.0" encoding="utf-8"?>
<table xmlns="http://schemas.openxmlformats.org/spreadsheetml/2006/main" ref="A121:L132" displayName="Product_Distribution_by_Category3" name="Product_Distribution_by_Category3" id="4">
  <tableColumns count="12">
    <tableColumn name="Category" id="1"/>
    <tableColumn name="kitchen-accessories" id="2"/>
    <tableColumn name="groceries" id="3"/>
    <tableColumn name="mens-watches" id="4"/>
    <tableColumn name="beauty" id="5"/>
    <tableColumn name="fragrances" id="6"/>
    <tableColumn name="furniture" id="7"/>
    <tableColumn name="home-decoration" id="8"/>
    <tableColumn name="laptops" id="9"/>
    <tableColumn name="mens-shirts" id="10"/>
    <tableColumn name="mens-shoes" id="11"/>
    <tableColumn name="mobile-accessories" id="12"/>
  </tableColumns>
  <tableStyleInfo name="My_Report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25"/>
    <col customWidth="1" min="2" max="3" width="53.25"/>
    <col customWidth="1" min="4" max="4" width="61.75"/>
    <col customWidth="1" min="7" max="7" width="19.88"/>
    <col customWidth="1" min="9" max="9" width="14.38"/>
    <col customWidth="1" min="10" max="10" width="21.5"/>
    <col customWidth="1" min="11" max="11" width="15.5"/>
    <col customWidth="1" min="13" max="13" width="20.13"/>
    <col customWidth="1" min="14" max="14" width="27.0"/>
    <col customWidth="1" min="15" max="15" width="17.63"/>
    <col customWidth="1" min="16" max="16" width="16.88"/>
    <col customWidth="1" min="17" max="17" width="36.38"/>
    <col customWidth="1" min="18" max="18" width="21.38"/>
    <col customWidth="1" min="19" max="20" width="37.88"/>
    <col customWidth="1" min="21" max="21" width="17.13"/>
    <col customWidth="1" min="22" max="22" width="22.25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1" t="s">
        <v>20</v>
      </c>
      <c r="V1" s="1" t="s">
        <v>21</v>
      </c>
    </row>
    <row r="2" ht="22.5" customHeight="1">
      <c r="A2" s="5" t="s">
        <v>22</v>
      </c>
      <c r="B2" s="6" t="str">
        <f>IFERROR(__xludf.DUMMYFUNCTION("AI(""Generate catchy and well detailed product descriptions in 8words for the products in Column A"")"),"Volumizing mascara for bold, royal, and defined lashes.")</f>
        <v>Volumizing mascara for bold, royal, and defined lashes.</v>
      </c>
      <c r="C2" s="6" t="str">
        <f>IFERROR(__xludf.DUMMYFUNCTION("AI(""Generate brief summary for the product descriptions in columnB using 3 keywords"")"),"Volumizing, Bold, Mascara")</f>
        <v>Volumizing, Bold, Mascara</v>
      </c>
      <c r="D2" s="7" t="str">
        <f>IFERROR(__xludf.DUMMYFUNCTION("AI(""translate product desptions in column B to Igbo"")"),"Mascara na-eme ka nku anya saa mbara maka nku anya siri ike, nke eze, na nke pụtara ìhè.")</f>
        <v>Mascara na-eme ka nku anya saa mbara maka nku anya siri ike, nke eze, na nke pụtara ìhè.</v>
      </c>
      <c r="E2" s="5" t="s">
        <v>23</v>
      </c>
      <c r="F2" s="5">
        <v>9.99</v>
      </c>
      <c r="G2" s="5">
        <v>10.48</v>
      </c>
      <c r="H2" s="5">
        <v>2.56</v>
      </c>
      <c r="I2" s="5">
        <v>99.0</v>
      </c>
      <c r="J2" s="5" t="s">
        <v>24</v>
      </c>
      <c r="K2" s="5" t="s">
        <v>25</v>
      </c>
      <c r="L2" s="5">
        <v>4.0</v>
      </c>
      <c r="M2" s="5" t="s">
        <v>26</v>
      </c>
      <c r="N2" s="5" t="s">
        <v>27</v>
      </c>
      <c r="O2" s="5" t="s">
        <v>28</v>
      </c>
      <c r="P2" s="5" t="str">
        <f>IFERROR(__xludf.DUMMYFUNCTION("AI(""Extract and delete ratings from Column P2:P101"")"),"3, 4, 5")</f>
        <v>3, 4, 5</v>
      </c>
      <c r="Q2" s="5" t="str">
        <f>IFERROR(__xludf.DUMMYFUNCTION("AI(""Extract onlu Reviews in column P2:P101"")"),"- Would not recommend\!
  - Very satisfied\!
  - Highly impressed\!")</f>
        <v>- Would not recommend\!
  - Very satisfied\!
  - Highly impressed\!</v>
      </c>
      <c r="R2" s="5" t="str">
        <f>IFERROR(__xludf.DUMMYFUNCTION("AI(""Retain only date and time in column Q2:Q101 remove any unimportant information"")"),"2025-04-30 09:41:02")</f>
        <v>2025-04-30 09:41:02</v>
      </c>
      <c r="S2" s="7" t="str">
        <f>IFERROR(__xludf.DUMMYFUNCTION("AI(""Extract only emails from Column P2:P101"")"),"eleanor.collins@x.dummyjson.com, lucas.gordon@x.dummyjson.com")</f>
        <v>eleanor.collins@x.dummyjson.com, lucas.gordon@x.dummyjson.com</v>
      </c>
      <c r="T2" s="7" t="str">
        <f>IFERROR(__xludf.DUMMYFUNCTION("AI(""Analyse the consumers' reviews in Column Q2:Q101 using 2words"")"),"Mixed feedback")</f>
        <v>Mixed feedback</v>
      </c>
      <c r="U2" s="5" t="s">
        <v>29</v>
      </c>
      <c r="V2" s="5">
        <v>48.0</v>
      </c>
    </row>
    <row r="3" ht="22.5" customHeight="1">
      <c r="A3" s="5" t="s">
        <v>30</v>
      </c>
      <c r="B3" s="6" t="str">
        <f>IFERROR(__xludf.DUMMYFUNCTION("AI(""Generate catchy and well detailed product descriptions in 8words for the products in Column A"")"),"Vibrant pigmented shades with mirror for effortless glam.")</f>
        <v>Vibrant pigmented shades with mirror for effortless glam.</v>
      </c>
      <c r="C3" s="6" t="str">
        <f>IFERROR(__xludf.DUMMYFUNCTION("AI(""Generate brief summary for the product descriptions in columnB using 3 keywords"")"),"Vibrant, pigmented, glam")</f>
        <v>Vibrant, pigmented, glam</v>
      </c>
      <c r="D3" s="7" t="str">
        <f>IFERROR(__xludf.DUMMYFUNCTION("AI(""translate product desptions in column B to Igbo"")"),"Agba ndị mara mma nwere enyo maka mma dị mfe.")</f>
        <v>Agba ndị mara mma nwere enyo maka mma dị mfe.</v>
      </c>
      <c r="E3" s="5" t="s">
        <v>23</v>
      </c>
      <c r="F3" s="5">
        <v>19.99</v>
      </c>
      <c r="G3" s="5">
        <v>18.19</v>
      </c>
      <c r="H3" s="5">
        <v>2.86</v>
      </c>
      <c r="I3" s="5">
        <v>34.0</v>
      </c>
      <c r="J3" s="5" t="s">
        <v>31</v>
      </c>
      <c r="K3" s="5" t="s">
        <v>32</v>
      </c>
      <c r="L3" s="5">
        <v>9.0</v>
      </c>
      <c r="M3" s="5" t="s">
        <v>33</v>
      </c>
      <c r="N3" s="5" t="s">
        <v>34</v>
      </c>
      <c r="O3" s="5" t="s">
        <v>28</v>
      </c>
      <c r="P3" s="5" t="str">
        <f>IFERROR(__xludf.DUMMYFUNCTION("AI(""Extract and delete ratings from Column P2:P101"")"),"5, 4, 1")</f>
        <v>5, 4, 1</v>
      </c>
      <c r="Q3" s="5" t="str">
        <f>IFERROR(__xludf.DUMMYFUNCTION("AI(""Extract onlu Reviews in column P2:P101"")"),"- Great product\!
  - Awesome product\!
  - Poor quality\!")</f>
        <v>- Great product\!
  - Awesome product\!
  - Poor quality\!</v>
      </c>
      <c r="R3" s="5" t="str">
        <f>IFERROR(__xludf.DUMMYFUNCTION("AI(""Retain only date and time in column Q2:Q101 remove any unimportant information"")"),"2025-04-30 09:41:02")</f>
        <v>2025-04-30 09:41:02</v>
      </c>
      <c r="S3" s="7" t="str">
        <f>IFERROR(__xludf.DUMMYFUNCTION("AI(""Extract only emails from Column P2:P101"")"),"savannah.gomez@x.dummyjson.com, christian.perez@x.dummyjson.com, nicholas.bailey@x.dummyjson.com")</f>
        <v>savannah.gomez@x.dummyjson.com, christian.perez@x.dummyjson.com, nicholas.bailey@x.dummyjson.com</v>
      </c>
      <c r="T3" s="7" t="str">
        <f>IFERROR(__xludf.DUMMYFUNCTION("AI(""Analyse the consumers' reviews in Column Q2:Q101 using 2words"")"),"Mixed Feedback")</f>
        <v>Mixed Feedback</v>
      </c>
      <c r="U3" s="5" t="s">
        <v>35</v>
      </c>
      <c r="V3" s="5">
        <v>20.0</v>
      </c>
    </row>
    <row r="4" ht="22.5" customHeight="1">
      <c r="A4" s="5" t="s">
        <v>36</v>
      </c>
      <c r="B4" s="6" t="str">
        <f>IFERROR(__xludf.DUMMYFUNCTION("AI(""Generate catchy and well detailed product descriptions in 8words for the products in Column A"")"),"Silky face powder for a flawless velvet finish.")</f>
        <v>Silky face powder for a flawless velvet finish.</v>
      </c>
      <c r="C4" s="6" t="str">
        <f>IFERROR(__xludf.DUMMYFUNCTION("AI(""Generate brief summary for the product descriptions in columnB using 3 keywords"")"),"Silky, flawless, velvet")</f>
        <v>Silky, flawless, velvet</v>
      </c>
      <c r="D4" s="7" t="str">
        <f>IFERROR(__xludf.DUMMYFUNCTION("AI(""translate product desptions in column B to Igbo"")"),"Ntụ ihu dị nro maka ọdịdị velvet na-enweghị ntụpọ.")</f>
        <v>Ntụ ihu dị nro maka ọdịdị velvet na-enweghị ntụpọ.</v>
      </c>
      <c r="E4" s="5" t="s">
        <v>23</v>
      </c>
      <c r="F4" s="5">
        <v>14.99</v>
      </c>
      <c r="G4" s="5">
        <v>9.84</v>
      </c>
      <c r="H4" s="5">
        <v>4.64</v>
      </c>
      <c r="I4" s="5">
        <v>89.0</v>
      </c>
      <c r="J4" s="5" t="s">
        <v>37</v>
      </c>
      <c r="K4" s="5" t="s">
        <v>38</v>
      </c>
      <c r="L4" s="5">
        <v>8.0</v>
      </c>
      <c r="M4" s="5" t="s">
        <v>39</v>
      </c>
      <c r="N4" s="5" t="s">
        <v>40</v>
      </c>
      <c r="O4" s="5" t="s">
        <v>28</v>
      </c>
      <c r="P4" s="5" t="str">
        <f>IFERROR(__xludf.DUMMYFUNCTION("AI(""Extract and delete ratings from Column P2:P101"")"),"4, 5, 1")</f>
        <v>4, 5, 1</v>
      </c>
      <c r="Q4" s="5" t="str">
        <f>IFERROR(__xludf.DUMMYFUNCTION("AI(""Extract onlu Reviews in column P2:P101"")"),"- Would buy again\!
  - Highly impressed\!
  - Very dissatisfied\!")</f>
        <v>- Would buy again\!
  - Highly impressed\!
  - Very dissatisfied\!</v>
      </c>
      <c r="R4" s="5" t="str">
        <f>IFERROR(__xludf.DUMMYFUNCTION("AI(""Retain only date and time in column Q2:Q101 remove any unimportant information"")"),"2025-04-30 09:41:02")</f>
        <v>2025-04-30 09:41:02</v>
      </c>
      <c r="S4" s="7" t="str">
        <f>IFERROR(__xludf.DUMMYFUNCTION("AI(""Extract only emails from Column P2:P101"")"),"alexander.jones@x.dummyjson.com, elijah.cruz@x.dummyjson.com, avery.perez@x.dummyjson.com")</f>
        <v>alexander.jones@x.dummyjson.com, elijah.cruz@x.dummyjson.com, avery.perez@x.dummyjson.com</v>
      </c>
      <c r="T4" s="7" t="str">
        <f>IFERROR(__xludf.DUMMYFUNCTION("AI(""Analyse the consumers' reviews in Column Q2:Q101 using 2words"")"),"Mixed feedback")</f>
        <v>Mixed feedback</v>
      </c>
      <c r="U4" s="5" t="s">
        <v>29</v>
      </c>
      <c r="V4" s="5">
        <v>22.0</v>
      </c>
    </row>
    <row r="5" ht="22.5" customHeight="1">
      <c r="A5" s="5" t="s">
        <v>41</v>
      </c>
      <c r="B5" s="6" t="str">
        <f>IFERROR(__xludf.DUMMYFUNCTION("AI(""Generate catchy and well detailed product descriptions in 8words for the products in Column A"")"),"Vibrant bold red color for stunning, lasting smiles.")</f>
        <v>Vibrant bold red color for stunning, lasting smiles.</v>
      </c>
      <c r="C5" s="6" t="str">
        <f>IFERROR(__xludf.DUMMYFUNCTION("AI(""Generate brief summary for the product descriptions in columnB using 3 keywords"")"),"Vibrant, Bold, Lasting")</f>
        <v>Vibrant, Bold, Lasting</v>
      </c>
      <c r="D5" s="7" t="str">
        <f>IFERROR(__xludf.DUMMYFUNCTION("AI(""translate product desptions in column B to Igbo"")"),"Agba ọbara ọbara na-egbuke egbuke maka ihu ọchị mara mma ma na-adịte aka.")</f>
        <v>Agba ọbara ọbara na-egbuke egbuke maka ihu ọchị mara mma ma na-adịte aka.</v>
      </c>
      <c r="E5" s="5" t="s">
        <v>23</v>
      </c>
      <c r="F5" s="5">
        <v>12.99</v>
      </c>
      <c r="G5" s="5">
        <v>12.16</v>
      </c>
      <c r="H5" s="5">
        <v>4.36</v>
      </c>
      <c r="I5" s="5">
        <v>91.0</v>
      </c>
      <c r="J5" s="5" t="s">
        <v>42</v>
      </c>
      <c r="K5" s="5" t="s">
        <v>43</v>
      </c>
      <c r="L5" s="5">
        <v>1.0</v>
      </c>
      <c r="M5" s="5" t="s">
        <v>44</v>
      </c>
      <c r="N5" s="5" t="s">
        <v>45</v>
      </c>
      <c r="O5" s="5" t="s">
        <v>28</v>
      </c>
      <c r="P5" s="5" t="str">
        <f>IFERROR(__xludf.DUMMYFUNCTION("AI(""Extract and delete ratings from Column P2:P101"")"),"4, 5, 5")</f>
        <v>4, 5, 5</v>
      </c>
      <c r="Q5" s="5" t="str">
        <f>IFERROR(__xludf.DUMMYFUNCTION("AI(""Extract onlu Reviews in column P2:P101"")"),"- Great product\!
  - Great product\!
  - Would buy again\!")</f>
        <v>- Great product\!
  - Great product\!
  - Would buy again\!</v>
      </c>
      <c r="R5" s="5" t="str">
        <f>IFERROR(__xludf.DUMMYFUNCTION("AI(""Retain only date and time in column Q2:Q101 remove any unimportant information"")"),"2025-04-30 09:41:02")</f>
        <v>2025-04-30 09:41:02</v>
      </c>
      <c r="S5" s="7" t="str">
        <f>IFERROR(__xludf.DUMMYFUNCTION("AI(""Extract only emails from Column P2:P101"")"),"liam.garcia@x.dummyjson.com, ruby.andrews@x.dummyjson.com, clara.berry@x.dummyjson.com")</f>
        <v>liam.garcia@x.dummyjson.com, ruby.andrews@x.dummyjson.com, clara.berry@x.dummyjson.com</v>
      </c>
      <c r="T5" s="7" t="str">
        <f>IFERROR(__xludf.DUMMYFUNCTION("AI(""Analyse the consumers' reviews in Column Q2:Q101 using 2words"")"),"Very positive")</f>
        <v>Very positive</v>
      </c>
      <c r="U5" s="5" t="s">
        <v>35</v>
      </c>
      <c r="V5" s="5">
        <v>40.0</v>
      </c>
    </row>
    <row r="6" ht="22.5" customHeight="1">
      <c r="A6" s="5" t="s">
        <v>46</v>
      </c>
      <c r="B6" s="6" t="str">
        <f>IFERROR(__xludf.DUMMYFUNCTION("AI(""Generate catchy and well detailed product descriptions in 8words for the products in Column A"")"),"Vibrant red nail polish for a salon-quality finish.")</f>
        <v>Vibrant red nail polish for a salon-quality finish.</v>
      </c>
      <c r="C6" s="6" t="str">
        <f>IFERROR(__xludf.DUMMYFUNCTION("AI(""Generate brief summary for the product descriptions in columnB using 3 keywords"")"),"Vibrant, red, salon-quality")</f>
        <v>Vibrant, red, salon-quality</v>
      </c>
      <c r="D6" s="7" t="str">
        <f>IFERROR(__xludf.DUMMYFUNCTION("AI(""translate product desptions in column B to Igbo"")"),"Agba mbo na-acha uhie uhie di mma maka omaricha ncha mbo di ka nke ebe a na-acho mma.")</f>
        <v>Agba mbo na-acha uhie uhie di mma maka omaricha ncha mbo di ka nke ebe a na-acho mma.</v>
      </c>
      <c r="E6" s="5" t="s">
        <v>23</v>
      </c>
      <c r="F6" s="5">
        <v>8.99</v>
      </c>
      <c r="G6" s="5">
        <v>11.44</v>
      </c>
      <c r="H6" s="5">
        <v>4.32</v>
      </c>
      <c r="I6" s="5">
        <v>79.0</v>
      </c>
      <c r="J6" s="5" t="s">
        <v>47</v>
      </c>
      <c r="K6" s="5" t="s">
        <v>48</v>
      </c>
      <c r="L6" s="5">
        <v>8.0</v>
      </c>
      <c r="M6" s="5" t="s">
        <v>49</v>
      </c>
      <c r="N6" s="5" t="s">
        <v>50</v>
      </c>
      <c r="O6" s="5" t="s">
        <v>28</v>
      </c>
      <c r="P6" s="5" t="str">
        <f>IFERROR(__xludf.DUMMYFUNCTION("AI(""Extract and delete ratings from Column P2:P101"")"),"2, 5, 1")</f>
        <v>2, 5, 1</v>
      </c>
      <c r="Q6" s="5" t="str">
        <f>IFERROR(__xludf.DUMMYFUNCTION("AI(""Extract onlu Reviews in column P2:P101"")"),"- Poor quality\!
  - Great product\!
  - Very unhappy with my purchase\!")</f>
        <v>- Poor quality\!
  - Great product\!
  - Very unhappy with my purchase\!</v>
      </c>
      <c r="R6" s="5" t="str">
        <f>IFERROR(__xludf.DUMMYFUNCTION("AI(""Retain only date and time in column Q2:Q101 remove any unimportant information"")"),"2025-04-30 09:41:02")</f>
        <v>2025-04-30 09:41:02</v>
      </c>
      <c r="S6" s="7" t="str">
        <f>IFERROR(__xludf.DUMMYFUNCTION("AI(""Extract only emails from Column P2:P101"")"),"benjamin.wilson@x.dummyjson.com, liam.smith@x.dummyjson.com, clara.berry@x.dummyjson.com")</f>
        <v>benjamin.wilson@x.dummyjson.com, liam.smith@x.dummyjson.com, clara.berry@x.dummyjson.com</v>
      </c>
      <c r="T6" s="7" t="str">
        <f>IFERROR(__xludf.DUMMYFUNCTION("AI(""Analyse the consumers' reviews in Column Q2:Q101 using 2words"")"),"Polarized reviews")</f>
        <v>Polarized reviews</v>
      </c>
      <c r="U6" s="5" t="s">
        <v>29</v>
      </c>
      <c r="V6" s="5">
        <v>22.0</v>
      </c>
    </row>
    <row r="7" ht="22.5" customHeight="1">
      <c r="A7" s="5" t="s">
        <v>51</v>
      </c>
      <c r="B7" s="6" t="str">
        <f>IFERROR(__xludf.DUMMYFUNCTION("AI(""Generate catchy and well detailed product descriptions in 8words for the products in Column A"")"),"Refreshing citrus blend for a timeless unisex scent.")</f>
        <v>Refreshing citrus blend for a timeless unisex scent.</v>
      </c>
      <c r="C7" s="6" t="str">
        <f>IFERROR(__xludf.DUMMYFUNCTION("AI(""Generate brief summary for the product descriptions in columnB using 3 keywords"")"),"Refreshing, citrus, unisex")</f>
        <v>Refreshing, citrus, unisex</v>
      </c>
      <c r="D7" s="7" t="str">
        <f>IFERROR(__xludf.DUMMYFUNCTION("AI(""translate product desptions in column B to Igbo"")"),"Ngwakọta citrus na-enye ume ọhụrụ maka isi na-adịghị agwụ agwụ nke nwoke na nwanyị nwere ike iji.")</f>
        <v>Ngwakọta citrus na-enye ume ọhụrụ maka isi na-adịghị agwụ agwụ nke nwoke na nwanyị nwere ike iji.</v>
      </c>
      <c r="E7" s="5" t="s">
        <v>52</v>
      </c>
      <c r="F7" s="5">
        <v>49.99</v>
      </c>
      <c r="G7" s="5">
        <v>1.89</v>
      </c>
      <c r="H7" s="5">
        <v>4.37</v>
      </c>
      <c r="I7" s="5">
        <v>29.0</v>
      </c>
      <c r="J7" s="5" t="s">
        <v>53</v>
      </c>
      <c r="K7" s="5" t="s">
        <v>54</v>
      </c>
      <c r="L7" s="5">
        <v>7.0</v>
      </c>
      <c r="M7" s="5" t="s">
        <v>26</v>
      </c>
      <c r="N7" s="5" t="s">
        <v>50</v>
      </c>
      <c r="O7" s="5" t="s">
        <v>28</v>
      </c>
      <c r="P7" s="5" t="str">
        <f>IFERROR(__xludf.DUMMYFUNCTION("AI(""Extract and delete ratings from Column P2:P101"")"),"2, 4, 3")</f>
        <v>2, 4, 3</v>
      </c>
      <c r="Q7" s="5" t="str">
        <f>IFERROR(__xludf.DUMMYFUNCTION("AI(""Extract onlu Reviews in column P2:P101"")"),"- Very disappointed\!
  - Fast shipping\!
  - Not as described\!")</f>
        <v>- Very disappointed\!
  - Fast shipping\!
  - Not as described\!</v>
      </c>
      <c r="R7" s="5" t="str">
        <f>IFERROR(__xludf.DUMMYFUNCTION("AI(""Retain only date and time in column Q2:Q101 remove any unimportant information"")"),"2025-04-30 09:41:02")</f>
        <v>2025-04-30 09:41:02</v>
      </c>
      <c r="S7" s="7" t="str">
        <f>IFERROR(__xludf.DUMMYFUNCTION("AI(""Extract only emails from Column P2:P101"")"),"layla.young@x.dummyjson.com, daniel.cook@x.dummyjson.com, jacob.cooper@x.dummyjson.com")</f>
        <v>layla.young@x.dummyjson.com, daniel.cook@x.dummyjson.com, jacob.cooper@x.dummyjson.com</v>
      </c>
      <c r="T7" s="7" t="str">
        <f>IFERROR(__xludf.DUMMYFUNCTION("AI(""Analyse the consumers' reviews in Column Q2:Q101 using 2words"")"),"Mixed feedback")</f>
        <v>Mixed feedback</v>
      </c>
      <c r="U7" s="5" t="s">
        <v>55</v>
      </c>
      <c r="V7" s="5">
        <v>9.0</v>
      </c>
    </row>
    <row r="8" ht="22.5" customHeight="1">
      <c r="A8" s="5" t="s">
        <v>56</v>
      </c>
      <c r="B8" s="6" t="str">
        <f>IFERROR(__xludf.DUMMYFUNCTION("AI(""Generate catchy and well detailed product descriptions in 8words for the products in Column A"")"),"Mysterious magnetic fragrance with intense and radiant notes.")</f>
        <v>Mysterious magnetic fragrance with intense and radiant notes.</v>
      </c>
      <c r="C8" s="6" t="str">
        <f>IFERROR(__xludf.DUMMYFUNCTION("AI(""Generate brief summary for the product descriptions in columnB using 3 keywords"")"),"Mysterious, magnetic, radiant")</f>
        <v>Mysterious, magnetic, radiant</v>
      </c>
      <c r="D8" s="7" t="str">
        <f>IFERROR(__xludf.DUMMYFUNCTION("AI(""translate product desptions in column B to Igbo"")"),"Isi ụtọ magnetik dị omimi nwere ndetu siri ike ma na-egbukepụ egbukepụ.")</f>
        <v>Isi ụtọ magnetik dị omimi nwere ndetu siri ike ma na-egbukepụ egbukepụ.</v>
      </c>
      <c r="E8" s="5" t="s">
        <v>52</v>
      </c>
      <c r="F8" s="5">
        <v>129.99</v>
      </c>
      <c r="G8" s="5">
        <v>16.51</v>
      </c>
      <c r="H8" s="5">
        <v>4.26</v>
      </c>
      <c r="I8" s="5">
        <v>58.0</v>
      </c>
      <c r="J8" s="5" t="s">
        <v>53</v>
      </c>
      <c r="K8" s="5" t="s">
        <v>57</v>
      </c>
      <c r="L8" s="5">
        <v>7.0</v>
      </c>
      <c r="M8" s="5" t="s">
        <v>44</v>
      </c>
      <c r="N8" s="5" t="s">
        <v>50</v>
      </c>
      <c r="O8" s="5" t="s">
        <v>28</v>
      </c>
      <c r="P8" s="5" t="str">
        <f>IFERROR(__xludf.DUMMYFUNCTION("AI(""Extract and delete ratings from Column P2:P101"")"),"4, 5, 5")</f>
        <v>4, 5, 5</v>
      </c>
      <c r="Q8" s="5" t="str">
        <f>IFERROR(__xludf.DUMMYFUNCTION("AI(""Extract onlu Reviews in column P2:P101"")"),"- Highly impressed\!
  - Awesome product\!
  - Very happy with my purchase\!")</f>
        <v>- Highly impressed\!
  - Awesome product\!
  - Very happy with my purchase\!</v>
      </c>
      <c r="R8" s="5" t="str">
        <f>IFERROR(__xludf.DUMMYFUNCTION("AI(""Retain only date and time in column Q2:Q101 remove any unimportant information"")"),"2025-04-30 09:41:02")</f>
        <v>2025-04-30 09:41:02</v>
      </c>
      <c r="S8" s="7" t="str">
        <f>IFERROR(__xludf.DUMMYFUNCTION("AI(""Extract only emails from Column P2:P101"")"),"ruby.andrews@x.dummyjson.com, leah.henderson@x.dummyjson.com, xavier.wright@x.dummyjson.com")</f>
        <v>ruby.andrews@x.dummyjson.com, leah.henderson@x.dummyjson.com, xavier.wright@x.dummyjson.com</v>
      </c>
      <c r="T8" s="7" t="str">
        <f>IFERROR(__xludf.DUMMYFUNCTION("AI(""Analyse the consumers' reviews in Column Q2:Q101 using 2words"")"),"Highly Positive")</f>
        <v>Highly Positive</v>
      </c>
      <c r="U8" s="5" t="s">
        <v>29</v>
      </c>
      <c r="V8" s="5">
        <v>1.0</v>
      </c>
    </row>
    <row r="9" ht="22.5" customHeight="1">
      <c r="A9" s="5" t="s">
        <v>58</v>
      </c>
      <c r="B9" s="6" t="str">
        <f>IFERROR(__xludf.DUMMYFUNCTION("AI(""Generate catchy and well detailed product descriptions in 8words for the products in Column A"")"),"Elegant floral fragrance by Dior for timeless sophistication.")</f>
        <v>Elegant floral fragrance by Dior for timeless sophistication.</v>
      </c>
      <c r="C9" s="6" t="str">
        <f>IFERROR(__xludf.DUMMYFUNCTION("AI(""Generate brief summary for the product descriptions in columnB using 3 keywords"")"),"Elegant, floral, Dior")</f>
        <v>Elegant, floral, Dior</v>
      </c>
      <c r="D9" s="7" t="str">
        <f>IFERROR(__xludf.DUMMYFUNCTION("AI(""translate product desptions in column B to Igbo"")"),"Onye na-esi ísì ụtọ nke okooko osisi mara mma nke Dior mere maka ọkaibe na-adịghị agwụ agwụ.")</f>
        <v>Onye na-esi ísì ụtọ nke okooko osisi mara mma nke Dior mere maka ọkaibe na-adịghị agwụ agwụ.</v>
      </c>
      <c r="E9" s="5" t="s">
        <v>52</v>
      </c>
      <c r="F9" s="5">
        <v>89.99</v>
      </c>
      <c r="G9" s="5">
        <v>14.72</v>
      </c>
      <c r="H9" s="5">
        <v>3.8</v>
      </c>
      <c r="I9" s="5">
        <v>98.0</v>
      </c>
      <c r="J9" s="5" t="s">
        <v>53</v>
      </c>
      <c r="K9" s="5" t="s">
        <v>59</v>
      </c>
      <c r="L9" s="5">
        <v>4.0</v>
      </c>
      <c r="M9" s="5" t="s">
        <v>26</v>
      </c>
      <c r="N9" s="5" t="s">
        <v>34</v>
      </c>
      <c r="O9" s="5" t="s">
        <v>28</v>
      </c>
      <c r="P9" s="5" t="str">
        <f>IFERROR(__xludf.DUMMYFUNCTION("AI(""Extract and delete ratings from Column P2:P101"")"),"5, 4, 4")</f>
        <v>5, 4, 4</v>
      </c>
      <c r="Q9" s="5" t="str">
        <f>IFERROR(__xludf.DUMMYFUNCTION("AI(""Extract onlu Reviews in column P2:P101"")"),"- Great value for money\!
  - Great value for money\!
  - Great product\!")</f>
        <v>- Great value for money\!
  - Great value for money\!
  - Great product\!</v>
      </c>
      <c r="R9" s="5" t="str">
        <f>IFERROR(__xludf.DUMMYFUNCTION("AI(""Retain only date and time in column Q2:Q101 remove any unimportant information"")"),"2025-04-30 09:41:02")</f>
        <v>2025-04-30 09:41:02</v>
      </c>
      <c r="S9" s="7" t="str">
        <f>IFERROR(__xludf.DUMMYFUNCTION("AI(""Extract only emails from Column P2:P101"")"),"nicholas.bailey@x.dummyjson.com, penelope.harper@x.dummyjson.com, emma.miller@x.dummyjson.com")</f>
        <v>nicholas.bailey@x.dummyjson.com, penelope.harper@x.dummyjson.com, emma.miller@x.dummyjson.com</v>
      </c>
      <c r="T9" s="7" t="str">
        <f>IFERROR(__xludf.DUMMYFUNCTION("AI(""Analyse the consumers' reviews in Column Q2:Q101 using 2words"")"),"Highly positive")</f>
        <v>Highly positive</v>
      </c>
      <c r="U9" s="5" t="s">
        <v>35</v>
      </c>
      <c r="V9" s="5">
        <v>10.0</v>
      </c>
    </row>
    <row r="10" ht="22.5" customHeight="1">
      <c r="A10" s="5" t="s">
        <v>60</v>
      </c>
      <c r="B10" s="6" t="str">
        <f>IFERROR(__xludf.DUMMYFUNCTION("AI(""Generate catchy and well detailed product descriptions in 8words for the products in Column A"")"),"Vibrant sun-kissed mango and florals for radiant joy.")</f>
        <v>Vibrant sun-kissed mango and florals for radiant joy.</v>
      </c>
      <c r="C10" s="6" t="str">
        <f>IFERROR(__xludf.DUMMYFUNCTION("AI(""Generate brief summary for the product descriptions in columnB using 3 keywords"")"),"Mango, floral, joy")</f>
        <v>Mango, floral, joy</v>
      </c>
      <c r="D10" s="7" t="str">
        <f>IFERROR(__xludf.DUMMYFUNCTION("AI(""translate product desptions in column B to Igbo"")"),"Mangoro na ifuru na-egbuke egbuke nke anwụ gbara maka ọṅụ na-enwu gbaa.")</f>
        <v>Mangoro na ifuru na-egbuke egbuke nke anwụ gbara maka ọṅụ na-enwu gbaa.</v>
      </c>
      <c r="E10" s="5" t="s">
        <v>52</v>
      </c>
      <c r="F10" s="5">
        <v>69.99</v>
      </c>
      <c r="G10" s="5">
        <v>0.62</v>
      </c>
      <c r="H10" s="5">
        <v>3.96</v>
      </c>
      <c r="I10" s="5">
        <v>4.0</v>
      </c>
      <c r="J10" s="5" t="s">
        <v>53</v>
      </c>
      <c r="K10" s="5" t="s">
        <v>61</v>
      </c>
      <c r="L10" s="5">
        <v>6.0</v>
      </c>
      <c r="M10" s="5" t="s">
        <v>44</v>
      </c>
      <c r="N10" s="5" t="s">
        <v>62</v>
      </c>
      <c r="O10" s="5" t="s">
        <v>63</v>
      </c>
      <c r="P10" s="5" t="str">
        <f>IFERROR(__xludf.DUMMYFUNCTION("AI(""Extract and delete ratings from Column P2:P101"")"),"4, 4, 5")</f>
        <v>4, 4, 5</v>
      </c>
      <c r="Q10" s="5" t="str">
        <f>IFERROR(__xludf.DUMMYFUNCTION("AI(""Extract onlu Reviews in column P2:P101"")"),"- Would buy again\!
  - Highly recommended\!
  - Very happy with my purchase\!")</f>
        <v>- Would buy again\!
  - Highly recommended\!
  - Very happy with my purchase\!</v>
      </c>
      <c r="R10" s="5" t="str">
        <f>IFERROR(__xludf.DUMMYFUNCTION("AI(""Retain only date and time in column Q2:Q101 remove any unimportant information"")"),"2025-04-30 09:41:02")</f>
        <v>2025-04-30 09:41:02</v>
      </c>
      <c r="S10" s="7" t="str">
        <f>IFERROR(__xludf.DUMMYFUNCTION("AI(""Extract only emails from Column P2:P101"")"),"mateo.bennett@x.dummyjson.com, nolan.gonzalez@x.dummyjson.com, aurora.lawson@x.dummyjson.com")</f>
        <v>mateo.bennett@x.dummyjson.com, nolan.gonzalez@x.dummyjson.com, aurora.lawson@x.dummyjson.com</v>
      </c>
      <c r="T10" s="7" t="str">
        <f>IFERROR(__xludf.DUMMYFUNCTION("AI(""Analyse the consumers' reviews in Column Q2:Q101 using 2words"")"),"Highly positive")</f>
        <v>Highly positive</v>
      </c>
      <c r="U10" s="5" t="s">
        <v>35</v>
      </c>
      <c r="V10" s="5">
        <v>2.0</v>
      </c>
    </row>
    <row r="11" ht="22.5" customHeight="1">
      <c r="A11" s="5" t="s">
        <v>64</v>
      </c>
      <c r="B11" s="6" t="str">
        <f>IFERROR(__xludf.DUMMYFUNCTION("AI(""Generate catchy and well detailed product descriptions in 8words for the products in Column A"")"),"Timeless floral bouquet capturing the spirit of Gucci.")</f>
        <v>Timeless floral bouquet capturing the spirit of Gucci.</v>
      </c>
      <c r="C11" s="6" t="str">
        <f>IFERROR(__xludf.DUMMYFUNCTION("AI(""Generate brief summary for the product descriptions in columnB using 3 keywords"")"),"Floral, Timeless, Bouquet")</f>
        <v>Floral, Timeless, Bouquet</v>
      </c>
      <c r="D11" s="7" t="str">
        <f>IFERROR(__xludf.DUMMYFUNCTION("AI(""translate product desptions in column B to Igbo"")"),"Ùkwù okooko osisi na-adịghị agwụ agwụ nke na-egosipụta njirimara Gucci.")</f>
        <v>Ùkwù okooko osisi na-adịghị agwụ agwụ nke na-egosipụta njirimara Gucci.</v>
      </c>
      <c r="E11" s="5" t="s">
        <v>52</v>
      </c>
      <c r="F11" s="5">
        <v>79.99</v>
      </c>
      <c r="G11" s="5">
        <v>14.39</v>
      </c>
      <c r="H11" s="5">
        <v>2.74</v>
      </c>
      <c r="I11" s="5">
        <v>91.0</v>
      </c>
      <c r="J11" s="5" t="s">
        <v>53</v>
      </c>
      <c r="K11" s="5" t="s">
        <v>65</v>
      </c>
      <c r="L11" s="5">
        <v>7.0</v>
      </c>
      <c r="M11" s="5" t="s">
        <v>66</v>
      </c>
      <c r="N11" s="5" t="s">
        <v>50</v>
      </c>
      <c r="O11" s="5" t="s">
        <v>28</v>
      </c>
      <c r="P11" s="5" t="str">
        <f>IFERROR(__xludf.DUMMYFUNCTION("AI(""Extract and delete ratings from Column P2:P101"")"),"1, 5, 4")</f>
        <v>1, 5, 4</v>
      </c>
      <c r="Q11" s="5" t="str">
        <f>IFERROR(__xludf.DUMMYFUNCTION("AI(""Extract onlu Reviews in column P2:P101"")"),"- Very dissatisfied\!
  - Very happy with my purchase\!
  - Highly impressed\!")</f>
        <v>- Very dissatisfied\!
  - Very happy with my purchase\!
  - Highly impressed\!</v>
      </c>
      <c r="R11" s="5" t="str">
        <f>IFERROR(__xludf.DUMMYFUNCTION("AI(""Retain only date and time in column Q2:Q101 remove any unimportant information"")"),"2025-04-30 09:41:02")</f>
        <v>2025-04-30 09:41:02</v>
      </c>
      <c r="S11" s="7" t="str">
        <f>IFERROR(__xludf.DUMMYFUNCTION("AI(""Extract only emails from Column P2:P101"")"),"cameron.perez@x.dummyjson.com, daniel.cook@x.dummyjson.com, addison.wright@x.dummyjson.com")</f>
        <v>cameron.perez@x.dummyjson.com, daniel.cook@x.dummyjson.com, addison.wright@x.dummyjson.com</v>
      </c>
      <c r="T11" s="7" t="str">
        <f>IFERROR(__xludf.DUMMYFUNCTION("AI(""Analyse the consumers' reviews in Column Q2:Q101 using 2words"")"),"Mixed feedback")</f>
        <v>Mixed feedback</v>
      </c>
      <c r="U11" s="5" t="s">
        <v>29</v>
      </c>
      <c r="V11" s="5">
        <v>2.0</v>
      </c>
    </row>
    <row r="12" ht="22.5" customHeight="1">
      <c r="A12" s="5" t="s">
        <v>67</v>
      </c>
      <c r="B12" s="6" t="str">
        <f>IFERROR(__xludf.DUMMYFUNCTION("AI(""Generate catchy and well detailed product descriptions in 8words for the products in Column A"")"),"Luxurious handcrafted bed offering ultimate comfort and style.")</f>
        <v>Luxurious handcrafted bed offering ultimate comfort and style.</v>
      </c>
      <c r="C12" s="6" t="str">
        <f>IFERROR(__xludf.DUMMYFUNCTION("AI(""Generate brief summary for the product descriptions in columnB using 3 keywords"")"),"Luxurious, Handcrafted, Comfortable")</f>
        <v>Luxurious, Handcrafted, Comfortable</v>
      </c>
      <c r="D12" s="7" t="str">
        <f>IFERROR(__xludf.DUMMYFUNCTION("AI(""translate product desptions in column B to Igbo"")"),"Àkwà okomoko e jiri aka rụọ nke na-enye ezigbo izu ike na ọmarịcha ụdị.")</f>
        <v>Àkwà okomoko e jiri aka rụọ nke na-enye ezigbo izu ike na ọmarịcha ụdị.</v>
      </c>
      <c r="E12" s="5" t="s">
        <v>68</v>
      </c>
      <c r="F12" s="5">
        <v>1899.99</v>
      </c>
      <c r="G12" s="5">
        <v>8.57</v>
      </c>
      <c r="H12" s="5">
        <v>4.77</v>
      </c>
      <c r="I12" s="5">
        <v>88.0</v>
      </c>
      <c r="J12" s="5" t="s">
        <v>69</v>
      </c>
      <c r="K12" s="5" t="s">
        <v>70</v>
      </c>
      <c r="L12" s="5">
        <v>10.0</v>
      </c>
      <c r="M12" s="5" t="s">
        <v>33</v>
      </c>
      <c r="N12" s="5" t="s">
        <v>62</v>
      </c>
      <c r="O12" s="5" t="s">
        <v>28</v>
      </c>
      <c r="P12" s="5" t="str">
        <f>IFERROR(__xludf.DUMMYFUNCTION("AI(""Extract and delete ratings from Column P2:P101"")"),"2, 4, 1")</f>
        <v>2, 4, 1</v>
      </c>
      <c r="Q12" s="5" t="str">
        <f>IFERROR(__xludf.DUMMYFUNCTION("AI(""Extract onlu Reviews in column P2:P101"")"),"- Would not recommend\!
  - Highly impressed\!
  - Poor quality\!")</f>
        <v>- Would not recommend\!
  - Highly impressed\!
  - Poor quality\!</v>
      </c>
      <c r="R12" s="5" t="str">
        <f>IFERROR(__xludf.DUMMYFUNCTION("AI(""Retain only date and time in column Q2:Q101 remove any unimportant information"")"),"2025-04-30 09:41:02")</f>
        <v>2025-04-30 09:41:02</v>
      </c>
      <c r="S12" s="7" t="str">
        <f>IFERROR(__xludf.DUMMYFUNCTION("AI(""Extract only emails from Column P2:P101"")"),"christopher.west@x.dummyjson.com, vivian.carter@x.dummyjson.com, mason.wright@x.dummyjson.com")</f>
        <v>christopher.west@x.dummyjson.com, vivian.carter@x.dummyjson.com, mason.wright@x.dummyjson.com</v>
      </c>
      <c r="T12" s="7" t="str">
        <f>IFERROR(__xludf.DUMMYFUNCTION("AI(""Analyse the consumers' reviews in Column Q2:Q101 using 2words"")"),"Mixed feedback")</f>
        <v>Mixed feedback</v>
      </c>
      <c r="U12" s="5" t="s">
        <v>29</v>
      </c>
      <c r="V12" s="5">
        <v>1.0</v>
      </c>
    </row>
    <row r="13" ht="22.5" customHeight="1">
      <c r="A13" s="5" t="s">
        <v>71</v>
      </c>
      <c r="B13" s="6" t="str">
        <f>IFERROR(__xludf.DUMMYFUNCTION("AI(""Generate catchy and well detailed product descriptions in 8words for the products in Column A"")"),"Luxurious Italian sofa featuring lifetime warranty and comfort.")</f>
        <v>Luxurious Italian sofa featuring lifetime warranty and comfort.</v>
      </c>
      <c r="C13" s="6" t="str">
        <f>IFERROR(__xludf.DUMMYFUNCTION("AI(""Generate brief summary for the product descriptions in columnB using 3 keywords"")"),"Luxurious, Italian, comfortable")</f>
        <v>Luxurious, Italian, comfortable</v>
      </c>
      <c r="D13" s="7" t="str">
        <f>IFERROR(__xludf.DUMMYFUNCTION("AI(""translate product desptions in column B to Igbo"")"),"Sofa Italy dị oke ọnụ ahịa nke nwere akwụkwọ ikike ndụ niile na nkasi obi.")</f>
        <v>Sofa Italy dị oke ọnụ ahịa nke nwere akwụkwọ ikike ndụ niile na nkasi obi.</v>
      </c>
      <c r="E13" s="5" t="s">
        <v>68</v>
      </c>
      <c r="F13" s="5">
        <v>2499.99</v>
      </c>
      <c r="G13" s="5">
        <v>14.4</v>
      </c>
      <c r="H13" s="5">
        <v>3.92</v>
      </c>
      <c r="I13" s="5">
        <v>60.0</v>
      </c>
      <c r="J13" s="5" t="s">
        <v>72</v>
      </c>
      <c r="K13" s="5" t="s">
        <v>70</v>
      </c>
      <c r="L13" s="5">
        <v>6.0</v>
      </c>
      <c r="M13" s="5" t="s">
        <v>73</v>
      </c>
      <c r="N13" s="5" t="s">
        <v>45</v>
      </c>
      <c r="O13" s="5" t="s">
        <v>28</v>
      </c>
      <c r="P13" s="5" t="str">
        <f>IFERROR(__xludf.DUMMYFUNCTION("AI(""Extract and delete ratings from Column P2:P101"")"),"3, 5, 1")</f>
        <v>3, 5, 1</v>
      </c>
      <c r="Q13" s="5" t="str">
        <f>IFERROR(__xludf.DUMMYFUNCTION("AI(""Extract onlu Reviews in column P2:P101"")"),"- Very unhappy with my purchase\!
  - Fast shipping\!
  - Poor quality\!")</f>
        <v>- Very unhappy with my purchase\!
  - Fast shipping\!
  - Poor quality\!</v>
      </c>
      <c r="R13" s="5" t="str">
        <f>IFERROR(__xludf.DUMMYFUNCTION("AI(""Retain only date and time in column Q2:Q101 remove any unimportant information"")"),"2025-04-30 09:41:02")</f>
        <v>2025-04-30 09:41:02</v>
      </c>
      <c r="S13" s="7" t="str">
        <f>IFERROR(__xludf.DUMMYFUNCTION("AI(""Extract only emails from Column P2:P101"")"),"christian.perez@x.dummyjson.com, lillian.bishop@x.dummyjson.com, lillian.simmons@x.dummyjson.com")</f>
        <v>christian.perez@x.dummyjson.com, lillian.bishop@x.dummyjson.com, lillian.simmons@x.dummyjson.com</v>
      </c>
      <c r="T13" s="7" t="str">
        <f>IFERROR(__xludf.DUMMYFUNCTION("AI(""Analyse the consumers' reviews in Column Q2:Q101 using 2words"")"),"Mixed feedback")</f>
        <v>Mixed feedback</v>
      </c>
      <c r="U13" s="5" t="s">
        <v>35</v>
      </c>
      <c r="V13" s="5">
        <v>1.0</v>
      </c>
    </row>
    <row r="14" ht="22.5" customHeight="1">
      <c r="A14" s="5" t="s">
        <v>74</v>
      </c>
      <c r="B14" s="6" t="str">
        <f>IFERROR(__xludf.DUMMYFUNCTION("AI(""Generate catchy and well detailed product descriptions in 8words for the products in Column A"")"),"Elegant cherry wood bedside table for stylish storage.")</f>
        <v>Elegant cherry wood bedside table for stylish storage.</v>
      </c>
      <c r="C14" s="6" t="str">
        <f>IFERROR(__xludf.DUMMYFUNCTION("AI(""Generate brief summary for the product descriptions in columnB using 3 keywords"")"),"Elegant, cherry, storage")</f>
        <v>Elegant, cherry, storage</v>
      </c>
      <c r="D14" s="7" t="str">
        <f>IFERROR(__xludf.DUMMYFUNCTION("AI(""translate product desptions in column B to Igbo"")"),"Tebụl akụkụ àkwà osisi cherry mara mma maka nchekwa mara mma.")</f>
        <v>Tebụl akụkụ àkwà osisi cherry mara mma maka nchekwa mara mma.</v>
      </c>
      <c r="E14" s="5" t="s">
        <v>68</v>
      </c>
      <c r="F14" s="5">
        <v>299.99</v>
      </c>
      <c r="G14" s="5">
        <v>19.09</v>
      </c>
      <c r="H14" s="5">
        <v>2.87</v>
      </c>
      <c r="I14" s="5">
        <v>64.0</v>
      </c>
      <c r="J14" s="5" t="s">
        <v>75</v>
      </c>
      <c r="K14" s="5" t="s">
        <v>76</v>
      </c>
      <c r="L14" s="5">
        <v>2.0</v>
      </c>
      <c r="M14" s="5" t="s">
        <v>77</v>
      </c>
      <c r="N14" s="5" t="s">
        <v>50</v>
      </c>
      <c r="O14" s="5" t="s">
        <v>28</v>
      </c>
      <c r="P14" s="5" t="str">
        <f>IFERROR(__xludf.DUMMYFUNCTION("AI(""Extract and delete ratings from Column P2:P101"")"),"4, 4, 4")</f>
        <v>4, 4, 4</v>
      </c>
      <c r="Q14" s="5" t="str">
        <f>IFERROR(__xludf.DUMMYFUNCTION("AI(""Extract onlu Reviews in column P2:P101"")"),"- Excellent quality\!
  - Excellent quality\!
  - Highly recommended\!")</f>
        <v>- Excellent quality\!
  - Excellent quality\!
  - Highly recommended\!</v>
      </c>
      <c r="R14" s="5" t="str">
        <f>IFERROR(__xludf.DUMMYFUNCTION("AI(""Retain only date and time in column Q2:Q101 remove any unimportant information"")"),"2025-04-30 09:41:02")</f>
        <v>2025-04-30 09:41:02</v>
      </c>
      <c r="S14" s="7" t="str">
        <f>IFERROR(__xludf.DUMMYFUNCTION("AI(""Extract only emails from Column P2:P101"")"),"aaliyah.hanson@x.dummyjson.com, liam.smith@x.dummyjson.com, avery.barnes@x.dummyjson.com")</f>
        <v>aaliyah.hanson@x.dummyjson.com, liam.smith@x.dummyjson.com, avery.barnes@x.dummyjson.com</v>
      </c>
      <c r="T14" s="7" t="str">
        <f>IFERROR(__xludf.DUMMYFUNCTION("AI(""Analyse the consumers' reviews in Column Q2:Q101 using 2words"")"),"Highly recommended")</f>
        <v>Highly recommended</v>
      </c>
      <c r="U14" s="5" t="s">
        <v>35</v>
      </c>
      <c r="V14" s="5">
        <v>3.0</v>
      </c>
    </row>
    <row r="15" ht="22.5" customHeight="1">
      <c r="A15" s="5" t="s">
        <v>78</v>
      </c>
      <c r="B15" s="6" t="str">
        <f>IFERROR(__xludf.DUMMYFUNCTION("AI(""Generate catchy and well detailed product descriptions in 8words for the products in Column A"")"),"Sophisticated Knoll Saarinen chair for professional executive offices.")</f>
        <v>Sophisticated Knoll Saarinen chair for professional executive offices.</v>
      </c>
      <c r="C15" s="6" t="str">
        <f>IFERROR(__xludf.DUMMYFUNCTION("AI(""Generate brief summary for the product descriptions in columnB using 3 keywords"")"),"Sophisticated, professional, executive")</f>
        <v>Sophisticated, professional, executive</v>
      </c>
      <c r="D15" s="7" t="str">
        <f>IFERROR(__xludf.DUMMYFUNCTION("AI(""translate product desptions in column B to Igbo"")"),"Oche Knoll Saarinen ọkaibe maka ọfịs ndị isi ọkachamara.")</f>
        <v>Oche Knoll Saarinen ọkaibe maka ọfịs ndị isi ọkachamara.</v>
      </c>
      <c r="E15" s="5" t="s">
        <v>68</v>
      </c>
      <c r="F15" s="5">
        <v>499.99</v>
      </c>
      <c r="G15" s="5">
        <v>2.01</v>
      </c>
      <c r="H15" s="5">
        <v>4.88</v>
      </c>
      <c r="I15" s="5">
        <v>26.0</v>
      </c>
      <c r="J15" s="5" t="s">
        <v>79</v>
      </c>
      <c r="K15" s="5" t="s">
        <v>80</v>
      </c>
      <c r="L15" s="5">
        <v>10.0</v>
      </c>
      <c r="M15" s="5" t="s">
        <v>81</v>
      </c>
      <c r="N15" s="5" t="s">
        <v>50</v>
      </c>
      <c r="O15" s="5" t="s">
        <v>28</v>
      </c>
      <c r="P15" s="5" t="str">
        <f>IFERROR(__xludf.DUMMYFUNCTION("AI(""Extract and delete ratings from Column P2:P101"")"),"2, 2, 5")</f>
        <v>2, 2, 5</v>
      </c>
      <c r="Q15" s="5" t="str">
        <f>IFERROR(__xludf.DUMMYFUNCTION("AI(""Extract onlu Reviews in column P2:P101"")"),"- Waste of money\!
  - Very dissatisfied\!
  - Would buy again\!")</f>
        <v>- Waste of money\!
  - Very dissatisfied\!
  - Would buy again\!</v>
      </c>
      <c r="R15" s="5" t="str">
        <f>IFERROR(__xludf.DUMMYFUNCTION("AI(""Retain only date and time in column Q2:Q101 remove any unimportant information"")"),"2025-04-30 09:41:02")</f>
        <v>2025-04-30 09:41:02</v>
      </c>
      <c r="S15" s="7" t="str">
        <f>IFERROR(__xludf.DUMMYFUNCTION("AI(""Extract only emails from Column P2:P101"")"),"ella.cook@x.dummyjson.com, clara.berry@x.dummyjson.com, elena.long@x.dummyjson.com")</f>
        <v>ella.cook@x.dummyjson.com, clara.berry@x.dummyjson.com, elena.long@x.dummyjson.com</v>
      </c>
      <c r="T15" s="7" t="str">
        <f>IFERROR(__xludf.DUMMYFUNCTION("AI(""Analyse the consumers' reviews in Column Q2:Q101 using 2words"")"),"Mixed feedback")</f>
        <v>Mixed feedback</v>
      </c>
      <c r="U15" s="5" t="s">
        <v>82</v>
      </c>
      <c r="V15" s="5">
        <v>5.0</v>
      </c>
    </row>
    <row r="16" ht="22.5" customHeight="1">
      <c r="A16" s="5" t="s">
        <v>83</v>
      </c>
      <c r="B16" s="6" t="str">
        <f>IFERROR(__xludf.DUMMYFUNCTION("AI(""Generate catchy and well detailed product descriptions in 8words for the products in Column A"")"),"Elegant wooden sink with mirror for modern bathrooms.")</f>
        <v>Elegant wooden sink with mirror for modern bathrooms.</v>
      </c>
      <c r="C16" s="6" t="str">
        <f>IFERROR(__xludf.DUMMYFUNCTION("AI(""Generate brief summary for the product descriptions in columnB using 3 keywords"")"),"Elegant, wooden, modern")</f>
        <v>Elegant, wooden, modern</v>
      </c>
      <c r="D16" s="7" t="str">
        <f>IFERROR(__xludf.DUMMYFUNCTION("AI(""translate product desptions in column B to Igbo"")"),"Sinki osisi mara mma nwere enyo maka ụlọ ịsa ahụ ọgbara ọhụrụ.")</f>
        <v>Sinki osisi mara mma nwere enyo maka ụlọ ịsa ahụ ọgbara ọhụrụ.</v>
      </c>
      <c r="E16" s="5" t="s">
        <v>68</v>
      </c>
      <c r="F16" s="5">
        <v>799.99</v>
      </c>
      <c r="G16" s="5">
        <v>8.8</v>
      </c>
      <c r="H16" s="5">
        <v>3.59</v>
      </c>
      <c r="I16" s="5">
        <v>7.0</v>
      </c>
      <c r="J16" s="5" t="s">
        <v>84</v>
      </c>
      <c r="K16" s="5" t="s">
        <v>85</v>
      </c>
      <c r="L16" s="5">
        <v>10.0</v>
      </c>
      <c r="M16" s="5" t="s">
        <v>44</v>
      </c>
      <c r="N16" s="5" t="s">
        <v>27</v>
      </c>
      <c r="O16" s="5" t="s">
        <v>63</v>
      </c>
      <c r="P16" s="5" t="str">
        <f>IFERROR(__xludf.DUMMYFUNCTION("AI(""Extract and delete ratings from Column P2:P101"")"),"4, 5, 3")</f>
        <v>4, 5, 3</v>
      </c>
      <c r="Q16" s="5" t="str">
        <f>IFERROR(__xludf.DUMMYFUNCTION("AI(""Extract onlu Reviews in column P2:P101"")"),"- Fast shipping\!
  - Very pleased\!
  - Poor quality\!")</f>
        <v>- Fast shipping\!
  - Very pleased\!
  - Poor quality\!</v>
      </c>
      <c r="R16" s="5" t="str">
        <f>IFERROR(__xludf.DUMMYFUNCTION("AI(""Retain only date and time in column Q2:Q101 remove any unimportant information"")"),"2025-04-30 09:41:02")</f>
        <v>2025-04-30 09:41:02</v>
      </c>
      <c r="S16" s="7" t="str">
        <f>IFERROR(__xludf.DUMMYFUNCTION("AI(""Extract only emails from Column P2:P101"")"),"logan.torres@x.dummyjson.com, aria.parker@x.dummyjson.com, dylan.wells@x.dummyjson.com")</f>
        <v>logan.torres@x.dummyjson.com, aria.parker@x.dummyjson.com, dylan.wells@x.dummyjson.com</v>
      </c>
      <c r="T16" s="7" t="str">
        <f>IFERROR(__xludf.DUMMYFUNCTION("AI(""Analyse the consumers' reviews in Column Q2:Q101 using 2words"")"),"Mixed Feedback")</f>
        <v>Mixed Feedback</v>
      </c>
      <c r="U16" s="5" t="s">
        <v>82</v>
      </c>
      <c r="V16" s="5">
        <v>2.0</v>
      </c>
    </row>
    <row r="17" ht="22.5" customHeight="1">
      <c r="A17" s="5" t="s">
        <v>86</v>
      </c>
      <c r="B17" s="6" t="str">
        <f>IFERROR(__xludf.DUMMYFUNCTION("AI(""Generate catchy and well detailed product descriptions in 8words for the products in Column A"")"),"Crisp, juicy apples perfect for healthy, delicious snacking.")</f>
        <v>Crisp, juicy apples perfect for healthy, delicious snacking.</v>
      </c>
      <c r="C17" s="6" t="str">
        <f>IFERROR(__xludf.DUMMYFUNCTION("AI(""Generate brief summary for the product descriptions in columnB using 3 keywords"")"),"Crisp, juicy, healthy")</f>
        <v>Crisp, juicy, healthy</v>
      </c>
      <c r="D17" s="7" t="str">
        <f>IFERROR(__xludf.DUMMYFUNCTION("AI(""translate product desptions in column B to Igbo"")"),"Apụl ndị na-atọ ụtọ ma na-agba mmiri zuru oke maka nri dị mma ma na-atọ ụtọ.")</f>
        <v>Apụl ndị na-atọ ụtọ ma na-agba mmiri zuru oke maka nri dị mma ma na-atọ ụtọ.</v>
      </c>
      <c r="E17" s="5" t="s">
        <v>87</v>
      </c>
      <c r="F17" s="5">
        <v>1.99</v>
      </c>
      <c r="G17" s="5">
        <v>12.62</v>
      </c>
      <c r="H17" s="5">
        <v>4.19</v>
      </c>
      <c r="I17" s="5">
        <v>8.0</v>
      </c>
      <c r="J17" s="5" t="s">
        <v>88</v>
      </c>
      <c r="L17" s="5">
        <v>9.0</v>
      </c>
      <c r="M17" s="5" t="s">
        <v>44</v>
      </c>
      <c r="N17" s="5" t="s">
        <v>34</v>
      </c>
      <c r="O17" s="5" t="s">
        <v>28</v>
      </c>
      <c r="P17" s="5" t="str">
        <f>IFERROR(__xludf.DUMMYFUNCTION("AI(""Extract and delete ratings from Column P2:P101"")"),"5, 1, 3")</f>
        <v>5, 1, 3</v>
      </c>
      <c r="Q17" s="5" t="str">
        <f>IFERROR(__xludf.DUMMYFUNCTION("AI(""Extract onlu Reviews in column P2:P101"")"),"- Very satisfied\!
  - Very dissatisfied\!
  - Very unhappy with my purchase\!")</f>
        <v>- Very satisfied\!
  - Very dissatisfied\!
  - Very unhappy with my purchase\!</v>
      </c>
      <c r="R17" s="5" t="str">
        <f>IFERROR(__xludf.DUMMYFUNCTION("AI(""Retain only date and time in column Q2:Q101 remove any unimportant information"")"),"2025-04-30 09:41:02")</f>
        <v>2025-04-30 09:41:02</v>
      </c>
      <c r="S17" s="7" t="str">
        <f>IFERROR(__xludf.DUMMYFUNCTION("AI(""Extract only emails from Column P2:P101"")"),"sophia.brown@x.dummyjson.com, scarlett.bowman@x.dummyjson.com, william.gonzalez@x.dummyjson.com")</f>
        <v>sophia.brown@x.dummyjson.com, scarlett.bowman@x.dummyjson.com, william.gonzalez@x.dummyjson.com</v>
      </c>
      <c r="T17" s="7" t="str">
        <f>IFERROR(__xludf.DUMMYFUNCTION("AI(""Analyse the consumers' reviews in Column Q2:Q101 using 2words"")"),"Mostly negative")</f>
        <v>Mostly negative</v>
      </c>
      <c r="U17" s="5" t="s">
        <v>55</v>
      </c>
      <c r="V17" s="5">
        <v>7.0</v>
      </c>
    </row>
    <row r="18" ht="22.5" customHeight="1">
      <c r="A18" s="5" t="s">
        <v>89</v>
      </c>
      <c r="B18" s="6" t="str">
        <f>IFERROR(__xludf.DUMMYFUNCTION("AI(""Generate catchy and well detailed product descriptions in 8words for the products in Column A"")"),"Premium quality beef steak for a delicious meal.")</f>
        <v>Premium quality beef steak for a delicious meal.</v>
      </c>
      <c r="C18" s="6" t="str">
        <f>IFERROR(__xludf.DUMMYFUNCTION("AI(""Generate brief summary for the product descriptions in columnB using 3 keywords"")"),"Premium, quality, delicious")</f>
        <v>Premium, quality, delicious</v>
      </c>
      <c r="D18" s="7" t="str">
        <f>IFERROR(__xludf.DUMMYFUNCTION("AI(""translate product desptions in column B to Igbo"")"),"Anụ ehi dị ezigbo mma maka nri na-atọ ụtọ.")</f>
        <v>Anụ ehi dị ezigbo mma maka nri na-atọ ụtọ.</v>
      </c>
      <c r="E18" s="5" t="s">
        <v>87</v>
      </c>
      <c r="F18" s="5">
        <v>12.99</v>
      </c>
      <c r="G18" s="5">
        <v>9.61</v>
      </c>
      <c r="H18" s="5">
        <v>4.47</v>
      </c>
      <c r="I18" s="5">
        <v>86.0</v>
      </c>
      <c r="J18" s="5" t="s">
        <v>90</v>
      </c>
      <c r="L18" s="5">
        <v>10.0</v>
      </c>
      <c r="M18" s="5" t="s">
        <v>44</v>
      </c>
      <c r="N18" s="5" t="s">
        <v>50</v>
      </c>
      <c r="O18" s="5" t="s">
        <v>28</v>
      </c>
      <c r="P18" s="5" t="str">
        <f>IFERROR(__xludf.DUMMYFUNCTION("AI(""Extract and delete ratings from Column P2:P101"")"),"3, 4, 5")</f>
        <v>3, 4, 5</v>
      </c>
      <c r="Q18" s="5" t="str">
        <f>IFERROR(__xludf.DUMMYFUNCTION("AI(""Extract onlu Reviews in column P2:P101"")"),"- Would not recommend\!
  - Fast shipping\!
  - Great value for money\!")</f>
        <v>- Would not recommend\!
  - Fast shipping\!
  - Great value for money\!</v>
      </c>
      <c r="R18" s="5" t="str">
        <f>IFERROR(__xludf.DUMMYFUNCTION("AI(""Retain only date and time in column Q2:Q101 remove any unimportant information"")"),"2025-04-30 09:41:02")</f>
        <v>2025-04-30 09:41:02</v>
      </c>
      <c r="S18" s="7" t="str">
        <f>IFERROR(__xludf.DUMMYFUNCTION("AI(""Extract only emails from Column P2:P101"")"),"eleanor.tyler@x.dummyjson.com, alexander.jones@x.dummyjson.com, natalie.harris@x.dummyjson.com")</f>
        <v>eleanor.tyler@x.dummyjson.com, alexander.jones@x.dummyjson.com, natalie.harris@x.dummyjson.com</v>
      </c>
      <c r="T18" s="7" t="str">
        <f>IFERROR(__xludf.DUMMYFUNCTION("AI(""Analyse the consumers' reviews in Column Q2:Q101 using 2words"")"),"Generally positive")</f>
        <v>Generally positive</v>
      </c>
      <c r="U18" s="5" t="s">
        <v>82</v>
      </c>
      <c r="V18" s="5">
        <v>43.0</v>
      </c>
    </row>
    <row r="19" ht="22.5" customHeight="1">
      <c r="A19" s="5" t="s">
        <v>91</v>
      </c>
      <c r="B19" s="6" t="str">
        <f>IFERROR(__xludf.DUMMYFUNCTION("AI(""Generate catchy and well detailed product descriptions in 8words for the products in Column A"")"),"Nutritious and delicious meal for your happy cat.")</f>
        <v>Nutritious and delicious meal for your happy cat.</v>
      </c>
      <c r="C19" s="6" t="str">
        <f>IFERROR(__xludf.DUMMYFUNCTION("AI(""Generate brief summary for the product descriptions in columnB using 3 keywords"")"),"Nutritious, delicious, meal")</f>
        <v>Nutritious, delicious, meal</v>
      </c>
      <c r="D19" s="7" t="str">
        <f>IFERROR(__xludf.DUMMYFUNCTION("AI(""translate product desptions in column B to Igbo"")"),"Nri na-edozi ahụ ma na-atọ ụtọ maka nwamba gị nwere obi ụtọ.")</f>
        <v>Nri na-edozi ahụ ma na-atọ ụtọ maka nwamba gị nwere obi ụtọ.</v>
      </c>
      <c r="E19" s="5" t="s">
        <v>87</v>
      </c>
      <c r="F19" s="5">
        <v>8.99</v>
      </c>
      <c r="G19" s="5">
        <v>9.58</v>
      </c>
      <c r="H19" s="5">
        <v>3.13</v>
      </c>
      <c r="I19" s="5">
        <v>46.0</v>
      </c>
      <c r="J19" s="5" t="s">
        <v>92</v>
      </c>
      <c r="L19" s="5">
        <v>10.0</v>
      </c>
      <c r="M19" s="5" t="s">
        <v>33</v>
      </c>
      <c r="N19" s="5" t="s">
        <v>50</v>
      </c>
      <c r="O19" s="5" t="s">
        <v>28</v>
      </c>
      <c r="P19" s="5" t="str">
        <f>IFERROR(__xludf.DUMMYFUNCTION("AI(""Extract and delete ratings from Column P2:P101"")"),"3, 3, 2")</f>
        <v>3, 3, 2</v>
      </c>
      <c r="Q19" s="5" t="str">
        <f>IFERROR(__xludf.DUMMYFUNCTION("AI(""Extract onlu Reviews in column P2:P101"")"),"- Would not recommend\!
  - Very unhappy with my purchase\!
  - Very disappointed\!")</f>
        <v>- Would not recommend\!
  - Very unhappy with my purchase\!
  - Very disappointed\!</v>
      </c>
      <c r="R19" s="5" t="str">
        <f>IFERROR(__xludf.DUMMYFUNCTION("AI(""Retain only date and time in column Q2:Q101 remove any unimportant information"")"),"2025-04-30 09:41:02")</f>
        <v>2025-04-30 09:41:02</v>
      </c>
      <c r="S19" s="7" t="str">
        <f>IFERROR(__xludf.DUMMYFUNCTION("AI(""Extract only emails from Column P2:P101"")"),"noah.lewis@x.dummyjson.com, ruby.andrews@x.dummyjson.com, ethan.thompson@x.dummyjson.com")</f>
        <v>noah.lewis@x.dummyjson.com, ruby.andrews@x.dummyjson.com, ethan.thompson@x.dummyjson.com</v>
      </c>
      <c r="T19" s="7" t="str">
        <f>IFERROR(__xludf.DUMMYFUNCTION("AI(""Analyse the consumers' reviews in Column Q2:Q101 using 2words"")"),"Negative feedback")</f>
        <v>Negative feedback</v>
      </c>
      <c r="U19" s="5" t="s">
        <v>29</v>
      </c>
      <c r="V19" s="5">
        <v>18.0</v>
      </c>
    </row>
    <row r="20" ht="22.5" customHeight="1">
      <c r="A20" s="5" t="s">
        <v>93</v>
      </c>
      <c r="B20" s="6" t="str">
        <f>IFERROR(__xludf.DUMMYFUNCTION("AI(""Generate catchy and well detailed product descriptions in 8words for the products in Column A"")"),"Farm fresh chicken meat, tender and juicy flavors.")</f>
        <v>Farm fresh chicken meat, tender and juicy flavors.</v>
      </c>
      <c r="C20" s="6" t="str">
        <f>IFERROR(__xludf.DUMMYFUNCTION("AI(""Generate brief summary for the product descriptions in columnB using 3 keywords"")"),"Fresh, tender, juicy")</f>
        <v>Fresh, tender, juicy</v>
      </c>
      <c r="D20" s="7" t="str">
        <f>IFERROR(__xludf.DUMMYFUNCTION("AI(""translate product desptions in column B to Igbo"")"),"Anụ ọkụkọ nwetara n'ugbo ọhụrụ, nke dị nro ma nwee ụtọ.")</f>
        <v>Anụ ọkụkọ nwetara n'ugbo ọhụrụ, nke dị nro ma nwee ụtọ.</v>
      </c>
      <c r="E20" s="5" t="s">
        <v>87</v>
      </c>
      <c r="F20" s="5">
        <v>9.99</v>
      </c>
      <c r="G20" s="5">
        <v>13.7</v>
      </c>
      <c r="H20" s="5">
        <v>3.19</v>
      </c>
      <c r="I20" s="5">
        <v>97.0</v>
      </c>
      <c r="J20" s="5" t="s">
        <v>90</v>
      </c>
      <c r="L20" s="5">
        <v>1.0</v>
      </c>
      <c r="M20" s="5" t="s">
        <v>33</v>
      </c>
      <c r="N20" s="5" t="s">
        <v>62</v>
      </c>
      <c r="O20" s="5" t="s">
        <v>28</v>
      </c>
      <c r="P20" s="5" t="str">
        <f>IFERROR(__xludf.DUMMYFUNCTION("AI(""Extract and delete ratings from Column P2:P101"")"),"5, 4, 3")</f>
        <v>5, 4, 3</v>
      </c>
      <c r="Q20" s="5" t="str">
        <f>IFERROR(__xludf.DUMMYFUNCTION("AI(""Extract onlu Reviews in column P2:P101"")"),"- Great product\!
  - Highly recommended\!
  - Not worth the price\!")</f>
        <v>- Great product\!
  - Highly recommended\!
  - Not worth the price\!</v>
      </c>
      <c r="R20" s="5" t="str">
        <f>IFERROR(__xludf.DUMMYFUNCTION("AI(""Retain only date and time in column Q2:Q101 remove any unimportant information"")"),"2025-04-30 09:41:02")</f>
        <v>2025-04-30 09:41:02</v>
      </c>
      <c r="S20" s="7" t="str">
        <f>IFERROR(__xludf.DUMMYFUNCTION("AI(""Extract only emails from Column P2:P101"")"),"mateo.bennett@x.dummyjson.com, jackson.evans@x.dummyjson.com, sadie.morales@x.dummyjson.com")</f>
        <v>mateo.bennett@x.dummyjson.com, jackson.evans@x.dummyjson.com, sadie.morales@x.dummyjson.com</v>
      </c>
      <c r="T20" s="7" t="str">
        <f>IFERROR(__xludf.DUMMYFUNCTION("AI(""Analyse the consumers' reviews in Column Q2:Q101 using 2words"")"),"Mixed feedback")</f>
        <v>Mixed feedback</v>
      </c>
      <c r="U20" s="5" t="s">
        <v>35</v>
      </c>
      <c r="V20" s="5">
        <v>22.0</v>
      </c>
    </row>
    <row r="21" ht="22.5" customHeight="1">
      <c r="A21" s="5" t="s">
        <v>94</v>
      </c>
      <c r="B21" s="6" t="str">
        <f>IFERROR(__xludf.DUMMYFUNCTION("AI(""Generate catchy and well detailed product descriptions in 8words for the products in Column A"")"),"Pure, versatile oil perfect for all kitchen creations.")</f>
        <v>Pure, versatile oil perfect for all kitchen creations.</v>
      </c>
      <c r="C21" s="6" t="str">
        <f>IFERROR(__xludf.DUMMYFUNCTION("AI(""Generate brief summary for the product descriptions in columnB using 3 keywords"")"),"Pure, versatile, kitchen")</f>
        <v>Pure, versatile, kitchen</v>
      </c>
      <c r="D21" s="7" t="str">
        <f>IFERROR(__xludf.DUMMYFUNCTION("AI(""translate product desptions in column B to Igbo"")"),"Mmanụ nri dị mma maka ụdị nri ọ bụla a na-esi n'ụlọ nri.")</f>
        <v>Mmanụ nri dị mma maka ụdị nri ọ bụla a na-esi n'ụlọ nri.</v>
      </c>
      <c r="E21" s="5" t="s">
        <v>87</v>
      </c>
      <c r="F21" s="5">
        <v>4.99</v>
      </c>
      <c r="G21" s="5">
        <v>9.33</v>
      </c>
      <c r="H21" s="5">
        <v>4.8</v>
      </c>
      <c r="I21" s="5">
        <v>10.0</v>
      </c>
      <c r="J21" s="5" t="s">
        <v>95</v>
      </c>
      <c r="L21" s="5">
        <v>5.0</v>
      </c>
      <c r="M21" s="5" t="s">
        <v>73</v>
      </c>
      <c r="N21" s="5" t="s">
        <v>40</v>
      </c>
      <c r="O21" s="5" t="s">
        <v>28</v>
      </c>
      <c r="P21" s="5" t="str">
        <f>IFERROR(__xludf.DUMMYFUNCTION("AI(""Extract and delete ratings from Column P2:P101"")"),"5, 2, 5")</f>
        <v>5, 2, 5</v>
      </c>
      <c r="Q21" s="5" t="str">
        <f>IFERROR(__xludf.DUMMYFUNCTION("AI(""Extract onlu Reviews in column P2:P101"")"),"- Very happy with my purchase\!
  - Would not recommend\!
  - Would buy again\!")</f>
        <v>- Very happy with my purchase\!
  - Would not recommend\!
  - Would buy again\!</v>
      </c>
      <c r="R21" s="5" t="str">
        <f>IFERROR(__xludf.DUMMYFUNCTION("AI(""Retain only date and time in column Q2:Q101 remove any unimportant information"")"),"2025-04-30 09:41:02")</f>
        <v>2025-04-30 09:41:02</v>
      </c>
      <c r="S21" s="7" t="str">
        <f>IFERROR(__xludf.DUMMYFUNCTION("AI(""Extract only emails from Column P2:P101"")"),"victoria.mcdonald@x.dummyjson.com, hazel.evans@x.dummyjson.com, zoe.bennett@x.dummyjson.com")</f>
        <v>victoria.mcdonald@x.dummyjson.com, hazel.evans@x.dummyjson.com, zoe.bennett@x.dummyjson.com</v>
      </c>
      <c r="T21" s="7" t="str">
        <f>IFERROR(__xludf.DUMMYFUNCTION("AI(""Analyse the consumers' reviews in Column Q2:Q101 using 2words"")"),"Mixed feedback")</f>
        <v>Mixed feedback</v>
      </c>
      <c r="U21" s="5" t="s">
        <v>96</v>
      </c>
      <c r="V21" s="5">
        <v>46.0</v>
      </c>
    </row>
    <row r="22" ht="22.5" customHeight="1">
      <c r="A22" s="5" t="s">
        <v>97</v>
      </c>
      <c r="B22" s="6" t="str">
        <f>IFERROR(__xludf.DUMMYFUNCTION("AI(""Generate catchy and well detailed product descriptions in 8words for the products in Column A"")"),"Crisp garden fresh cucumbers perfect for refreshing salads")</f>
        <v>Crisp garden fresh cucumbers perfect for refreshing salads</v>
      </c>
      <c r="C22" s="6" t="str">
        <f>IFERROR(__xludf.DUMMYFUNCTION("AI(""Generate brief summary for the product descriptions in columnB using 3 keywords"")"),"Crisp, fresh, refreshing")</f>
        <v>Crisp, fresh, refreshing</v>
      </c>
      <c r="D22" s="7" t="str">
        <f>IFERROR(__xludf.DUMMYFUNCTION("AI(""translate product desptions in column B to Igbo"")"),"Kukumba ọhụrụ sitere n'ubi mara mma maka salad na-enye ume ọhụrụ.")</f>
        <v>Kukumba ọhụrụ sitere n'ubi mara mma maka salad na-enye ume ọhụrụ.</v>
      </c>
      <c r="E22" s="5" t="s">
        <v>87</v>
      </c>
      <c r="F22" s="5">
        <v>1.49</v>
      </c>
      <c r="G22" s="5">
        <v>0.16</v>
      </c>
      <c r="H22" s="5">
        <v>4.07</v>
      </c>
      <c r="I22" s="5">
        <v>84.0</v>
      </c>
      <c r="J22" s="5" t="s">
        <v>98</v>
      </c>
      <c r="L22" s="5">
        <v>4.0</v>
      </c>
      <c r="M22" s="5" t="s">
        <v>81</v>
      </c>
      <c r="N22" s="5" t="s">
        <v>40</v>
      </c>
      <c r="O22" s="5" t="s">
        <v>28</v>
      </c>
      <c r="P22" s="5" t="str">
        <f>IFERROR(__xludf.DUMMYFUNCTION("AI(""Extract and delete ratings from Column P2:P101"")"),"4, 4, 2")</f>
        <v>4, 4, 2</v>
      </c>
      <c r="Q22" s="5" t="str">
        <f>IFERROR(__xludf.DUMMYFUNCTION("AI(""Extract onlu Reviews in column P2:P101"")"),"- Great product\!
  - Great value for money\!
  - Poor quality\!")</f>
        <v>- Great product\!
  - Great value for money\!
  - Poor quality\!</v>
      </c>
      <c r="R22" s="5" t="str">
        <f>IFERROR(__xludf.DUMMYFUNCTION("AI(""Retain only date and time in column Q2:Q101 remove any unimportant information"")"),"2025-04-30 09:41:02")</f>
        <v>2025-04-30 09:41:02</v>
      </c>
      <c r="S22" s="7" t="str">
        <f>IFERROR(__xludf.DUMMYFUNCTION("AI(""Extract only emails from Column P2:P101"")"),"lincoln.kelly@x.dummyjson.com, savannah.gomez@x.dummyjson.com, james.davis@x.dummyjson.com")</f>
        <v>lincoln.kelly@x.dummyjson.com, savannah.gomez@x.dummyjson.com, james.davis@x.dummyjson.com</v>
      </c>
      <c r="T22" s="7" t="str">
        <f>IFERROR(__xludf.DUMMYFUNCTION("AI(""Analyse the consumers' reviews in Column Q2:Q101 using 2words"")"),"Mixed feedback")</f>
        <v>Mixed feedback</v>
      </c>
      <c r="U22" s="5" t="s">
        <v>35</v>
      </c>
      <c r="V22" s="5">
        <v>2.0</v>
      </c>
    </row>
    <row r="23" ht="22.5" customHeight="1">
      <c r="A23" s="5" t="s">
        <v>99</v>
      </c>
      <c r="B23" s="6" t="str">
        <f>IFERROR(__xludf.DUMMYFUNCTION("AI(""Generate catchy and well detailed product descriptions in 8words for the products in Column A"")"),"Nutritious, high-quality dog food for happy, healthy pets.")</f>
        <v>Nutritious, high-quality dog food for happy, healthy pets.</v>
      </c>
      <c r="C23" s="6" t="str">
        <f>IFERROR(__xludf.DUMMYFUNCTION("AI(""Generate brief summary for the product descriptions in columnB using 3 keywords"")"),"Nutritious, High-quality, Healthy")</f>
        <v>Nutritious, High-quality, Healthy</v>
      </c>
      <c r="D23" s="7" t="str">
        <f>IFERROR(__xludf.DUMMYFUNCTION("AI(""translate product desptions in column B to Igbo"")"),"Nri nkita na-edozi ahụ, nke nwere ezigbo mma maka anụ ụlọ na-enwe obi ụtọ na ahụ ike.")</f>
        <v>Nri nkita na-edozi ahụ, nke nwere ezigbo mma maka anụ ụlọ na-enwe obi ụtọ na ahụ ike.</v>
      </c>
      <c r="E23" s="5" t="s">
        <v>87</v>
      </c>
      <c r="F23" s="5">
        <v>10.99</v>
      </c>
      <c r="G23" s="5">
        <v>10.27</v>
      </c>
      <c r="H23" s="5">
        <v>4.55</v>
      </c>
      <c r="I23" s="5">
        <v>71.0</v>
      </c>
      <c r="J23" s="5" t="s">
        <v>100</v>
      </c>
      <c r="L23" s="5">
        <v>10.0</v>
      </c>
      <c r="M23" s="5" t="s">
        <v>101</v>
      </c>
      <c r="N23" s="5" t="s">
        <v>40</v>
      </c>
      <c r="O23" s="5" t="s">
        <v>28</v>
      </c>
      <c r="P23" s="5" t="str">
        <f>IFERROR(__xludf.DUMMYFUNCTION("AI(""Extract and delete ratings from Column P2:P101"")"),"5, 5, 4")</f>
        <v>5, 5, 4</v>
      </c>
      <c r="Q23" s="5" t="str">
        <f>IFERROR(__xludf.DUMMYFUNCTION("AI(""Extract onlu Reviews in column P2:P101"")"),"- Excellent quality\!
  - Awesome product\!
  - Great product\!")</f>
        <v>- Excellent quality\!
  - Awesome product\!
  - Great product\!</v>
      </c>
      <c r="R23" s="5" t="str">
        <f>IFERROR(__xludf.DUMMYFUNCTION("AI(""Retain only date and time in column Q2:Q101 remove any unimportant information"")"),"2025-04-30 09:41:02")</f>
        <v>2025-04-30 09:41:02</v>
      </c>
      <c r="S23" s="7" t="str">
        <f>IFERROR(__xludf.DUMMYFUNCTION("AI(""Extract only emails from Column P2:P101"")"),"nicholas.edwards@x.dummyjson.com, zachary.lee@x.dummyjson.com, nova.cooper@x.dummyjson.com")</f>
        <v>nicholas.edwards@x.dummyjson.com, zachary.lee@x.dummyjson.com, nova.cooper@x.dummyjson.com</v>
      </c>
      <c r="T23" s="7" t="str">
        <f>IFERROR(__xludf.DUMMYFUNCTION("AI(""Analyse the consumers' reviews in Column Q2:Q101 using 2words"")"),"Highly positive")</f>
        <v>Highly positive</v>
      </c>
      <c r="U23" s="5" t="s">
        <v>82</v>
      </c>
      <c r="V23" s="5">
        <v>43.0</v>
      </c>
    </row>
    <row r="24" ht="22.5" customHeight="1">
      <c r="A24" s="5" t="s">
        <v>102</v>
      </c>
      <c r="B24" s="6" t="str">
        <f>IFERROR(__xludf.DUMMYFUNCTION("AI(""Generate catchy and well detailed product descriptions in 8words for the products in Column A"")"),"Farm fresh high quality eggs for healthy cooking.")</f>
        <v>Farm fresh high quality eggs for healthy cooking.</v>
      </c>
      <c r="C24" s="6" t="str">
        <f>IFERROR(__xludf.DUMMYFUNCTION("AI(""Generate brief summary for the product descriptions in columnB using 3 keywords"")"),"Farm, Fresh, Healthy")</f>
        <v>Farm, Fresh, Healthy</v>
      </c>
      <c r="D24" s="7" t="str">
        <f>IFERROR(__xludf.DUMMYFUNCTION("AI(""translate product desptions in column B to Igbo"")"),"Akwa ọhụrụ sitere n'ugbo nwere ezigbo mma maka isi nri na-edozi ahụ.")</f>
        <v>Akwa ọhụrụ sitere n'ugbo nwere ezigbo mma maka isi nri na-edozi ahụ.</v>
      </c>
      <c r="E24" s="5" t="s">
        <v>87</v>
      </c>
      <c r="F24" s="5">
        <v>2.99</v>
      </c>
      <c r="G24" s="5">
        <v>11.05</v>
      </c>
      <c r="H24" s="5">
        <v>2.53</v>
      </c>
      <c r="I24" s="5">
        <v>9.0</v>
      </c>
      <c r="J24" s="5" t="s">
        <v>103</v>
      </c>
      <c r="L24" s="5">
        <v>2.0</v>
      </c>
      <c r="M24" s="5" t="s">
        <v>26</v>
      </c>
      <c r="N24" s="5" t="s">
        <v>45</v>
      </c>
      <c r="O24" s="5" t="s">
        <v>28</v>
      </c>
      <c r="P24" s="5" t="str">
        <f>IFERROR(__xludf.DUMMYFUNCTION("AI(""Extract and delete ratings from Column P2:P101"")"),"3, 3, 4")</f>
        <v>3, 3, 4</v>
      </c>
      <c r="Q24" s="5" t="str">
        <f>IFERROR(__xludf.DUMMYFUNCTION("AI(""Extract onlu Reviews in column P2:P101"")"),"- Disappointing product\!
  - Poor quality\!
  - Very pleased\!")</f>
        <v>- Disappointing product\!
  - Poor quality\!
  - Very pleased\!</v>
      </c>
      <c r="R24" s="5" t="str">
        <f>IFERROR(__xludf.DUMMYFUNCTION("AI(""Retain only date and time in column Q2:Q101 remove any unimportant information"")"),"2025-04-30 09:41:02")</f>
        <v>2025-04-30 09:41:02</v>
      </c>
      <c r="S24" s="7" t="str">
        <f>IFERROR(__xludf.DUMMYFUNCTION("AI(""Extract only emails from Column P2:P101"")"),"penelope.king@x.dummyjson.com, eleanor.tyler@x.dummyjson.com, benjamin.foster@x.dummyjson.com")</f>
        <v>penelope.king@x.dummyjson.com, eleanor.tyler@x.dummyjson.com, benjamin.foster@x.dummyjson.com</v>
      </c>
      <c r="T24" s="7" t="str">
        <f>IFERROR(__xludf.DUMMYFUNCTION("AI(""Analyse the consumers' reviews in Column Q2:Q101 using 2words"")"),"Mixed Feedback")</f>
        <v>Mixed Feedback</v>
      </c>
      <c r="U24" s="5" t="s">
        <v>29</v>
      </c>
      <c r="V24" s="5">
        <v>32.0</v>
      </c>
    </row>
    <row r="25" ht="22.5" customHeight="1">
      <c r="A25" s="5" t="s">
        <v>104</v>
      </c>
      <c r="B25" s="6" t="str">
        <f>IFERROR(__xludf.DUMMYFUNCTION("AI(""Generate catchy and well detailed product descriptions in 8words for the products in Column A"")"),"Succulent ocean fresh fish steak for healthy meals.")</f>
        <v>Succulent ocean fresh fish steak for healthy meals.</v>
      </c>
      <c r="C25" s="6" t="str">
        <f>IFERROR(__xludf.DUMMYFUNCTION("AI(""Generate brief summary for the product descriptions in columnB using 3 keywords"")"),"Succulent, ocean-fresh, healthy")</f>
        <v>Succulent, ocean-fresh, healthy</v>
      </c>
      <c r="D25" s="7" t="str">
        <f>IFERROR(__xludf.DUMMYFUNCTION("AI(""translate product desptions in column B to Igbo"")"),"Mpempe azụ̀ dị ụtọ, nke si n'oké osimiri ọhụrụ maka nri siri ike.")</f>
        <v>Mpempe azụ̀ dị ụtọ, nke si n'oké osimiri ọhụrụ maka nri siri ike.</v>
      </c>
      <c r="E25" s="5" t="s">
        <v>87</v>
      </c>
      <c r="F25" s="5">
        <v>14.99</v>
      </c>
      <c r="G25" s="5">
        <v>4.23</v>
      </c>
      <c r="H25" s="5">
        <v>3.78</v>
      </c>
      <c r="I25" s="5">
        <v>74.0</v>
      </c>
      <c r="J25" s="5" t="s">
        <v>105</v>
      </c>
      <c r="L25" s="5">
        <v>6.0</v>
      </c>
      <c r="M25" s="5" t="s">
        <v>49</v>
      </c>
      <c r="N25" s="5" t="s">
        <v>27</v>
      </c>
      <c r="O25" s="5" t="s">
        <v>28</v>
      </c>
      <c r="P25" s="5" t="str">
        <f>IFERROR(__xludf.DUMMYFUNCTION("AI(""Extract and delete ratings from Column P2:P101"")"),"2, 5, 4")</f>
        <v>2, 5, 4</v>
      </c>
      <c r="Q25" s="5" t="str">
        <f>IFERROR(__xludf.DUMMYFUNCTION("AI(""Extract onlu Reviews in column P2:P101"")"),"- Would not buy again\!
  - Excellent quality\!
  - Great value for money\!")</f>
        <v>- Would not buy again\!
  - Excellent quality\!
  - Great value for money\!</v>
      </c>
      <c r="R25" s="5" t="str">
        <f>IFERROR(__xludf.DUMMYFUNCTION("AI(""Retain only date and time in column Q2:Q101 remove any unimportant information"")"),"2025-04-30 09:41:02")</f>
        <v>2025-04-30 09:41:02</v>
      </c>
      <c r="S25" s="7" t="str">
        <f>IFERROR(__xludf.DUMMYFUNCTION("AI(""Extract only emails from Column P2:P101"")"),"caleb.perkins@x.dummyjson.com, isabella.jackson@x.dummyjson.com, nathan.dixon@x.dummyjson.com")</f>
        <v>caleb.perkins@x.dummyjson.com, isabella.jackson@x.dummyjson.com, nathan.dixon@x.dummyjson.com</v>
      </c>
      <c r="T25" s="7" t="str">
        <f>IFERROR(__xludf.DUMMYFUNCTION("AI(""Analyse the consumers' reviews in Column Q2:Q101 using 2words"")"),"Mixed feedback")</f>
        <v>Mixed feedback</v>
      </c>
      <c r="U25" s="5" t="s">
        <v>82</v>
      </c>
      <c r="V25" s="5">
        <v>50.0</v>
      </c>
    </row>
    <row r="26" ht="22.5" customHeight="1">
      <c r="A26" s="5" t="s">
        <v>106</v>
      </c>
      <c r="B26" s="6" t="str">
        <f>IFERROR(__xludf.DUMMYFUNCTION("AI(""Generate catchy and well detailed product descriptions in 8words for the products in Column A"")"),"Fresh crunchy green bell peppers for vibrant cooking.")</f>
        <v>Fresh crunchy green bell peppers for vibrant cooking.</v>
      </c>
      <c r="C26" s="6" t="str">
        <f>IFERROR(__xludf.DUMMYFUNCTION("AI(""Generate brief summary for the product descriptions in columnB using 3 keywords"")"),"Fresh, crunchy, vibrant")</f>
        <v>Fresh, crunchy, vibrant</v>
      </c>
      <c r="D26" s="7" t="str">
        <f>IFERROR(__xludf.DUMMYFUNCTION("AI(""translate product desptions in column B to Igbo"")"),"Ose abọshị ndụ ọhụrụ na-atọ ụtọ maka isi nri mara mma.")</f>
        <v>Ose abọshị ndụ ọhụrụ na-atọ ụtọ maka isi nri mara mma.</v>
      </c>
      <c r="E26" s="5" t="s">
        <v>87</v>
      </c>
      <c r="F26" s="5">
        <v>1.29</v>
      </c>
      <c r="G26" s="5">
        <v>0.16</v>
      </c>
      <c r="H26" s="5">
        <v>3.25</v>
      </c>
      <c r="I26" s="5">
        <v>33.0</v>
      </c>
      <c r="J26" s="5" t="s">
        <v>98</v>
      </c>
      <c r="L26" s="5">
        <v>2.0</v>
      </c>
      <c r="M26" s="5" t="s">
        <v>49</v>
      </c>
      <c r="N26" s="5" t="s">
        <v>45</v>
      </c>
      <c r="O26" s="5" t="s">
        <v>28</v>
      </c>
      <c r="P26" s="5" t="str">
        <f>IFERROR(__xludf.DUMMYFUNCTION("AI(""Extract and delete ratings from Column P2:P101"")"),"4, 3, 5")</f>
        <v>4, 3, 5</v>
      </c>
      <c r="Q26" s="5" t="str">
        <f>IFERROR(__xludf.DUMMYFUNCTION("AI(""Extract onlu Reviews in column P2:P101"")"),"- Highly recommended\!
  - Would not recommend\!
  - Excellent quality\!")</f>
        <v>- Highly recommended\!
  - Would not recommend\!
  - Excellent quality\!</v>
      </c>
      <c r="R26" s="5" t="str">
        <f>IFERROR(__xludf.DUMMYFUNCTION("AI(""Retain only date and time in column Q2:Q101 remove any unimportant information"")"),"2025-04-30 09:41:02")</f>
        <v>2025-04-30 09:41:02</v>
      </c>
      <c r="S26" s="7" t="str">
        <f>IFERROR(__xludf.DUMMYFUNCTION("AI(""Extract only emails from Column P2:P101"")"),"avery.carter@x.dummyjson.com, henry.hill@x.dummyjson.com, addison.wright@x.dummyjson.com")</f>
        <v>avery.carter@x.dummyjson.com, henry.hill@x.dummyjson.com, addison.wright@x.dummyjson.com</v>
      </c>
      <c r="T26" s="7" t="str">
        <f>IFERROR(__xludf.DUMMYFUNCTION("AI(""Analyse the consumers' reviews in Column Q2:Q101 using 2words"")"),"Mixed feedback")</f>
        <v>Mixed feedback</v>
      </c>
      <c r="U26" s="5" t="s">
        <v>96</v>
      </c>
      <c r="V26" s="5">
        <v>12.0</v>
      </c>
    </row>
    <row r="27" ht="22.5" customHeight="1">
      <c r="A27" s="5" t="s">
        <v>107</v>
      </c>
      <c r="B27" s="6" t="str">
        <f>IFERROR(__xludf.DUMMYFUNCTION("AI(""Generate catchy and well detailed product descriptions in 8words for the products in Column A"")"),"Fresh, spicy green chili peppers for bold flavor.")</f>
        <v>Fresh, spicy green chili peppers for bold flavor.</v>
      </c>
      <c r="C27" s="6" t="str">
        <f>IFERROR(__xludf.DUMMYFUNCTION("AI(""Generate brief summary for the product descriptions in columnB using 3 keywords"")"),"Fresh, spicy, bold")</f>
        <v>Fresh, spicy, bold</v>
      </c>
      <c r="D27" s="7" t="str">
        <f>IFERROR(__xludf.DUMMYFUNCTION("AI(""translate product desptions in column B to Igbo"")"),"Ose ndụ ọhụrụ ma na-akpụ ọkụ maka ụtọ siri ike.")</f>
        <v>Ose ndụ ọhụrụ ma na-akpụ ọkụ maka ụtọ siri ike.</v>
      </c>
      <c r="E27" s="5" t="s">
        <v>87</v>
      </c>
      <c r="F27" s="5">
        <v>0.99</v>
      </c>
      <c r="G27" s="5">
        <v>1.0</v>
      </c>
      <c r="H27" s="5">
        <v>3.66</v>
      </c>
      <c r="I27" s="5">
        <v>3.0</v>
      </c>
      <c r="J27" s="5" t="s">
        <v>98</v>
      </c>
      <c r="L27" s="5">
        <v>7.0</v>
      </c>
      <c r="M27" s="5" t="s">
        <v>81</v>
      </c>
      <c r="N27" s="5" t="s">
        <v>45</v>
      </c>
      <c r="O27" s="5" t="s">
        <v>63</v>
      </c>
      <c r="P27" s="5" t="str">
        <f>IFERROR(__xludf.DUMMYFUNCTION("AI(""Extract and delete ratings from Column P2:P101"")"),"4, 1, 3")</f>
        <v>4, 1, 3</v>
      </c>
      <c r="Q27" s="5" t="str">
        <f>IFERROR(__xludf.DUMMYFUNCTION("AI(""Extract onlu Reviews in column P2:P101"")"),"- Great product\!
  - Waste of money\!
  - Very disappointed\!")</f>
        <v>- Great product\!
  - Waste of money\!
  - Very disappointed\!</v>
      </c>
      <c r="R27" s="5" t="str">
        <f>IFERROR(__xludf.DUMMYFUNCTION("AI(""Retain only date and time in column Q2:Q101 remove any unimportant information"")"),"2025-04-30 09:41:02")</f>
        <v>2025-04-30 09:41:02</v>
      </c>
      <c r="S27" s="7" t="str">
        <f>IFERROR(__xludf.DUMMYFUNCTION("AI(""Extract only emails from Column P2:P101"")"),"luna.russell@x.dummyjson.com, noah.lewis@x.dummyjson.com, clara.berry@x.dummyjson.com")</f>
        <v>luna.russell@x.dummyjson.com, noah.lewis@x.dummyjson.com, clara.berry@x.dummyjson.com</v>
      </c>
      <c r="T27" s="7" t="str">
        <f>IFERROR(__xludf.DUMMYFUNCTION("AI(""Analyse the consumers' reviews in Column Q2:Q101 using 2words"")"),"Mixed feedback")</f>
        <v>Mixed feedback</v>
      </c>
      <c r="U27" s="5" t="s">
        <v>96</v>
      </c>
      <c r="V27" s="5">
        <v>39.0</v>
      </c>
    </row>
    <row r="28" ht="22.5" customHeight="1">
      <c r="A28" s="5" t="s">
        <v>108</v>
      </c>
      <c r="B28" s="6" t="str">
        <f>IFERROR(__xludf.DUMMYFUNCTION("AI(""Generate catchy and well detailed product descriptions in 8words for the products in Column A"")"),"Pure golden honey in a convenient glass jar.")</f>
        <v>Pure golden honey in a convenient glass jar.</v>
      </c>
      <c r="C28" s="6" t="str">
        <f>IFERROR(__xludf.DUMMYFUNCTION("AI(""Generate brief summary for the product descriptions in columnB using 3 keywords"")"),"Pure, golden, glass")</f>
        <v>Pure, golden, glass</v>
      </c>
      <c r="D28" s="7" t="str">
        <f>IFERROR(__xludf.DUMMYFUNCTION("AI(""translate product desptions in column B to Igbo"")"),"Mmanụ aṅụ dị ọcha na-acha edo edo n'ime ite iko dị mma.")</f>
        <v>Mmanụ aṅụ dị ọcha na-acha edo edo n'ime ite iko dị mma.</v>
      </c>
      <c r="E28" s="5" t="s">
        <v>87</v>
      </c>
      <c r="F28" s="5">
        <v>6.99</v>
      </c>
      <c r="G28" s="5">
        <v>14.4</v>
      </c>
      <c r="H28" s="5">
        <v>3.97</v>
      </c>
      <c r="I28" s="5">
        <v>34.0</v>
      </c>
      <c r="J28" s="5" t="s">
        <v>109</v>
      </c>
      <c r="L28" s="5">
        <v>2.0</v>
      </c>
      <c r="M28" s="5" t="s">
        <v>49</v>
      </c>
      <c r="N28" s="5" t="s">
        <v>40</v>
      </c>
      <c r="O28" s="5" t="s">
        <v>28</v>
      </c>
      <c r="P28" s="5" t="str">
        <f>IFERROR(__xludf.DUMMYFUNCTION("AI(""Extract and delete ratings from Column P2:P101"")"),"1, 4, 2")</f>
        <v>1, 4, 2</v>
      </c>
      <c r="Q28" s="5" t="str">
        <f>IFERROR(__xludf.DUMMYFUNCTION("AI(""Extract onlu Reviews in column P2:P101"")"),"- Very disappointed\!
  - Highly impressed\!
  - Very disappointed\!")</f>
        <v>- Very disappointed\!
  - Highly impressed\!
  - Very disappointed\!</v>
      </c>
      <c r="R28" s="5" t="str">
        <f>IFERROR(__xludf.DUMMYFUNCTION("AI(""Retain only date and time in column Q2:Q101 remove any unimportant information"")"),"2025-04-30 09:41:02")</f>
        <v>2025-04-30 09:41:02</v>
      </c>
      <c r="S28" s="7" t="str">
        <f>IFERROR(__xludf.DUMMYFUNCTION("AI(""Extract only emails from Column P2:P101"")"),"autumn.gomez@x.dummyjson.com, benjamin.wilson@x.dummyjson.com, nicholas.edwards@x.dummyjson.com")</f>
        <v>autumn.gomez@x.dummyjson.com, benjamin.wilson@x.dummyjson.com, nicholas.edwards@x.dummyjson.com</v>
      </c>
      <c r="T28" s="7" t="str">
        <f>IFERROR(__xludf.DUMMYFUNCTION("AI(""Analyse the consumers' reviews in Column Q2:Q101 using 2words"")"),"Mixed Feedback")</f>
        <v>Mixed Feedback</v>
      </c>
      <c r="U28" s="5" t="s">
        <v>55</v>
      </c>
      <c r="V28" s="5">
        <v>47.0</v>
      </c>
    </row>
    <row r="29" ht="22.5" customHeight="1">
      <c r="A29" s="5" t="s">
        <v>110</v>
      </c>
      <c r="B29" s="6" t="str">
        <f>IFERROR(__xludf.DUMMYFUNCTION("AI(""Generate catchy and well detailed product descriptions in 8words for the products in Column A"")"),"Deliciously cold creamy sweetness in every single scoop.")</f>
        <v>Deliciously cold creamy sweetness in every single scoop.</v>
      </c>
      <c r="C29" s="6" t="str">
        <f>IFERROR(__xludf.DUMMYFUNCTION("AI(""Generate brief summary for the product descriptions in columnB using 3 keywords"")"),"Cold, Creamy, Sweetness")</f>
        <v>Cold, Creamy, Sweetness</v>
      </c>
      <c r="D29" s="7" t="str">
        <f>IFERROR(__xludf.DUMMYFUNCTION("AI(""translate product desptions in column B to Igbo"")"),"Ụtọ creamy na-ajụ oyi n'ime scoop ọ bụla.")</f>
        <v>Ụtọ creamy na-ajụ oyi n'ime scoop ọ bụla.</v>
      </c>
      <c r="E29" s="5" t="s">
        <v>87</v>
      </c>
      <c r="F29" s="5">
        <v>5.49</v>
      </c>
      <c r="G29" s="5">
        <v>8.69</v>
      </c>
      <c r="H29" s="5">
        <v>3.39</v>
      </c>
      <c r="I29" s="5">
        <v>27.0</v>
      </c>
      <c r="J29" s="5" t="s">
        <v>111</v>
      </c>
      <c r="L29" s="5">
        <v>1.0</v>
      </c>
      <c r="M29" s="5" t="s">
        <v>49</v>
      </c>
      <c r="N29" s="5" t="s">
        <v>34</v>
      </c>
      <c r="O29" s="5" t="s">
        <v>28</v>
      </c>
      <c r="P29" s="5" t="str">
        <f>IFERROR(__xludf.DUMMYFUNCTION("AI(""Extract and delete ratings from Column P2:P101"")"),"5, 4, 5")</f>
        <v>5, 4, 5</v>
      </c>
      <c r="Q29" s="5" t="str">
        <f>IFERROR(__xludf.DUMMYFUNCTION("AI(""Extract onlu Reviews in column P2:P101"")"),"- Very pleased\!
  - Excellent quality\!
  - Highly impressed\!")</f>
        <v>- Very pleased\!
  - Excellent quality\!
  - Highly impressed\!</v>
      </c>
      <c r="R29" s="5" t="str">
        <f>IFERROR(__xludf.DUMMYFUNCTION("AI(""Retain only date and time in column Q2:Q101 remove any unimportant information"")"),"2025-04-30 09:41:02")</f>
        <v>2025-04-30 09:41:02</v>
      </c>
      <c r="S29" s="7" t="str">
        <f>IFERROR(__xludf.DUMMYFUNCTION("AI(""Extract only emails from Column P2:P101"")"),"elijah.cruz@x.dummyjson.com, jace.smith@x.dummyjson.com, sadie.morales@x.dummyjson.com")</f>
        <v>elijah.cruz@x.dummyjson.com, jace.smith@x.dummyjson.com, sadie.morales@x.dummyjson.com</v>
      </c>
      <c r="T29" s="7" t="str">
        <f>IFERROR(__xludf.DUMMYFUNCTION("AI(""Analyse the consumers' reviews in Column Q2:Q101 using 2words"")"),"Highly positive")</f>
        <v>Highly positive</v>
      </c>
      <c r="U29" s="5" t="s">
        <v>29</v>
      </c>
      <c r="V29" s="5">
        <v>42.0</v>
      </c>
    </row>
    <row r="30" ht="22.5" customHeight="1">
      <c r="A30" s="5" t="s">
        <v>112</v>
      </c>
      <c r="B30" s="6" t="str">
        <f>IFERROR(__xludf.DUMMYFUNCTION("AI(""Generate catchy and well detailed product descriptions in 8words for the products in Column A"")"),"Pure refreshing fruit juice for ultimate daily hydration.")</f>
        <v>Pure refreshing fruit juice for ultimate daily hydration.</v>
      </c>
      <c r="C30" s="6" t="str">
        <f>IFERROR(__xludf.DUMMYFUNCTION("AI(""Generate brief summary for the product descriptions in columnB using 3 keywords"")"),"Refreshing, fruit, hydration")</f>
        <v>Refreshing, fruit, hydration</v>
      </c>
      <c r="D30" s="7" t="str">
        <f>IFERROR(__xludf.DUMMYFUNCTION("AI(""translate product desptions in column B to Igbo"")"),"Ihe ọṅụṅụ mkpụrụ osisi dị ọcha na-enye ume ọhụrụ maka mmiri zuru oke kwa ụbọchị.")</f>
        <v>Ihe ọṅụṅụ mkpụrụ osisi dị ọcha na-enye ume ọhụrụ maka mmiri zuru oke kwa ụbọchị.</v>
      </c>
      <c r="E30" s="5" t="s">
        <v>87</v>
      </c>
      <c r="F30" s="5">
        <v>3.99</v>
      </c>
      <c r="G30" s="5">
        <v>12.06</v>
      </c>
      <c r="H30" s="5">
        <v>3.94</v>
      </c>
      <c r="I30" s="5">
        <v>50.0</v>
      </c>
      <c r="J30" s="5" t="s">
        <v>113</v>
      </c>
      <c r="L30" s="5">
        <v>1.0</v>
      </c>
      <c r="M30" s="5" t="s">
        <v>66</v>
      </c>
      <c r="N30" s="5" t="s">
        <v>45</v>
      </c>
      <c r="O30" s="5" t="s">
        <v>28</v>
      </c>
      <c r="P30" s="5" t="str">
        <f>IFERROR(__xludf.DUMMYFUNCTION("AI(""Extract and delete ratings from Column P2:P101"")"),"5, 4, 5")</f>
        <v>5, 4, 5</v>
      </c>
      <c r="Q30" s="5" t="str">
        <f>IFERROR(__xludf.DUMMYFUNCTION("AI(""Extract onlu Reviews in column P2:P101"")"),"- Excellent quality\!
  - Would buy again\!
  - Awesome product\!")</f>
        <v>- Excellent quality\!
  - Would buy again\!
  - Awesome product\!</v>
      </c>
      <c r="R30" s="5" t="str">
        <f>IFERROR(__xludf.DUMMYFUNCTION("AI(""Retain only date and time in column Q2:Q101 remove any unimportant information"")"),"2025-04-30 09:41:02")</f>
        <v>2025-04-30 09:41:02</v>
      </c>
      <c r="S30" s="7" t="str">
        <f>IFERROR(__xludf.DUMMYFUNCTION("AI(""Extract only emails from Column P2:P101"")"),"nolan.gonzalez@x.dummyjson.com, bella.grant@x.dummyjson.com, aria.flores@x.dummyjson.com")</f>
        <v>nolan.gonzalez@x.dummyjson.com, bella.grant@x.dummyjson.com, aria.flores@x.dummyjson.com</v>
      </c>
      <c r="T30" s="7" t="str">
        <f>IFERROR(__xludf.DUMMYFUNCTION("AI(""Analyse the consumers' reviews in Column Q2:Q101 using 2words"")"),"Highly Positive")</f>
        <v>Highly Positive</v>
      </c>
      <c r="U30" s="5" t="s">
        <v>29</v>
      </c>
      <c r="V30" s="5">
        <v>25.0</v>
      </c>
    </row>
    <row r="31" ht="22.5" customHeight="1">
      <c r="A31" s="5" t="s">
        <v>114</v>
      </c>
      <c r="B31" s="6" t="str">
        <f>IFERROR(__xludf.DUMMYFUNCTION("AI(""Generate catchy and well detailed product descriptions in 8words for the products in Column A"")"),"Sweet and fuzzy kiwi fruit, nutrient-packed healthy snack.")</f>
        <v>Sweet and fuzzy kiwi fruit, nutrient-packed healthy snack.</v>
      </c>
      <c r="C31" s="6" t="str">
        <f>IFERROR(__xludf.DUMMYFUNCTION("AI(""Generate brief summary for the product descriptions in columnB using 3 keywords"")"),"Sweet, fuzzy, nutrient-packed")</f>
        <v>Sweet, fuzzy, nutrient-packed</v>
      </c>
      <c r="D31" s="7" t="str">
        <f>IFERROR(__xludf.DUMMYFUNCTION("AI(""translate product desptions in column B to Igbo"")"),"Mkpụrụ osisi kiwi na-atọ ụtọ ma nwee ajị, ihe oriri juputara na nri na-edozi ahụ maka ahụ ike.")</f>
        <v>Mkpụrụ osisi kiwi na-atọ ụtọ ma nwee ajị, ihe oriri juputara na nri na-edozi ahụ maka ahụ ike.</v>
      </c>
      <c r="E31" s="5" t="s">
        <v>87</v>
      </c>
      <c r="F31" s="5">
        <v>2.49</v>
      </c>
      <c r="G31" s="5">
        <v>15.22</v>
      </c>
      <c r="H31" s="5">
        <v>4.93</v>
      </c>
      <c r="I31" s="5">
        <v>99.0</v>
      </c>
      <c r="J31" s="5" t="s">
        <v>88</v>
      </c>
      <c r="L31" s="5">
        <v>5.0</v>
      </c>
      <c r="M31" s="5" t="s">
        <v>66</v>
      </c>
      <c r="N31" s="5" t="s">
        <v>50</v>
      </c>
      <c r="O31" s="5" t="s">
        <v>28</v>
      </c>
      <c r="P31" s="5" t="str">
        <f>IFERROR(__xludf.DUMMYFUNCTION("AI(""Extract and delete ratings from Column P2:P101"")"),"4, 2, 4")</f>
        <v>4, 2, 4</v>
      </c>
      <c r="Q31" s="5" t="str">
        <f>IFERROR(__xludf.DUMMYFUNCTION("AI(""Extract onlu Reviews in column P2:P101"")"),"- Highly recommended\!
  - Would not buy again\!
  - Fast shipping\!")</f>
        <v>- Highly recommended\!
  - Would not buy again\!
  - Fast shipping\!</v>
      </c>
      <c r="R31" s="5" t="str">
        <f>IFERROR(__xludf.DUMMYFUNCTION("AI(""Retain only date and time in column Q2:Q101 remove any unimportant information"")"),"2025-04-30 09:41:02")</f>
        <v>2025-04-30 09:41:02</v>
      </c>
      <c r="S31" s="7" t="str">
        <f>IFERROR(__xludf.DUMMYFUNCTION("AI(""Extract only emails from Column P2:P101"")"),"emily.brown@x.dummyjson.com, jackson.morales@x.dummyjson.com, nora.russell@x.dummyjson.com")</f>
        <v>emily.brown@x.dummyjson.com, jackson.morales@x.dummyjson.com, nora.russell@x.dummyjson.com</v>
      </c>
      <c r="T31" s="7" t="str">
        <f>IFERROR(__xludf.DUMMYFUNCTION("AI(""Analyse the consumers' reviews in Column Q2:Q101 using 2words"")"),"Mixed feedback")</f>
        <v>Mixed feedback</v>
      </c>
      <c r="U31" s="5" t="s">
        <v>35</v>
      </c>
      <c r="V31" s="5">
        <v>30.0</v>
      </c>
    </row>
    <row r="32" ht="22.5" customHeight="1">
      <c r="A32" s="5" t="s">
        <v>115</v>
      </c>
      <c r="B32" s="6" t="str">
        <f>IFERROR(__xludf.DUMMYFUNCTION("AI(""Generate catchy and well detailed product descriptions in 8words for the products in Column A"")"),"Zesty fresh lemons perfect for cooking and drinks.")</f>
        <v>Zesty fresh lemons perfect for cooking and drinks.</v>
      </c>
      <c r="C32" s="6" t="str">
        <f>IFERROR(__xludf.DUMMYFUNCTION("AI(""Generate brief summary for the product descriptions in columnB using 3 keywords"")"),"Zesty, fresh, citrus")</f>
        <v>Zesty, fresh, citrus</v>
      </c>
      <c r="D32" s="7" t="str">
        <f>IFERROR(__xludf.DUMMYFUNCTION("AI(""translate product desptions in column B to Igbo"")"),"Lemọn ọhụrụ nwere ụtọ zuru oke maka isi nri na ihe ọṅụṅụ.")</f>
        <v>Lemọn ọhụrụ nwere ụtọ zuru oke maka isi nri na ihe ọṅụṅụ.</v>
      </c>
      <c r="E32" s="5" t="s">
        <v>87</v>
      </c>
      <c r="F32" s="5">
        <v>0.79</v>
      </c>
      <c r="G32" s="5">
        <v>9.7</v>
      </c>
      <c r="H32" s="5">
        <v>3.53</v>
      </c>
      <c r="I32" s="5">
        <v>31.0</v>
      </c>
      <c r="J32" s="5" t="s">
        <v>88</v>
      </c>
      <c r="L32" s="5">
        <v>3.0</v>
      </c>
      <c r="M32" s="5" t="s">
        <v>101</v>
      </c>
      <c r="N32" s="5" t="s">
        <v>62</v>
      </c>
      <c r="O32" s="5" t="s">
        <v>28</v>
      </c>
      <c r="P32" s="5" t="str">
        <f>IFERROR(__xludf.DUMMYFUNCTION("AI(""Extract and delete ratings from Column P2:P101"")"),"5, 5, 5")</f>
        <v>5, 5, 5</v>
      </c>
      <c r="Q32" s="5" t="str">
        <f>IFERROR(__xludf.DUMMYFUNCTION("AI(""Extract onlu Reviews in column P2:P101"")"),"- Awesome product\!
  - Highly impressed\!
  - Very satisfied\!")</f>
        <v>- Awesome product\!
  - Highly impressed\!
  - Very satisfied\!</v>
      </c>
      <c r="R32" s="5" t="str">
        <f>IFERROR(__xludf.DUMMYFUNCTION("AI(""Retain only date and time in column Q2:Q101 remove any unimportant information"")"),"2025-04-30 09:41:02")</f>
        <v>2025-04-30 09:41:02</v>
      </c>
      <c r="S32" s="7" t="str">
        <f>IFERROR(__xludf.DUMMYFUNCTION("AI(""Extract only emails from Column P2:P101"")"),"logan.lawson@x.dummyjson.com, avery.perez@x.dummyjson.com, benjamin.foster@x.dummyjson.com")</f>
        <v>logan.lawson@x.dummyjson.com, avery.perez@x.dummyjson.com, benjamin.foster@x.dummyjson.com</v>
      </c>
      <c r="T32" s="7" t="str">
        <f>IFERROR(__xludf.DUMMYFUNCTION("AI(""Analyse the consumers' reviews in Column Q2:Q101 using 2words"")"),"Positive feedback")</f>
        <v>Positive feedback</v>
      </c>
      <c r="U32" s="5" t="s">
        <v>35</v>
      </c>
      <c r="V32" s="5">
        <v>29.0</v>
      </c>
    </row>
    <row r="33" ht="22.5" customHeight="1">
      <c r="A33" s="5" t="s">
        <v>116</v>
      </c>
      <c r="B33" s="6" t="str">
        <f>IFERROR(__xludf.DUMMYFUNCTION("AI(""Generate catchy and well detailed product descriptions in 8words for the products in Column A"")"),"Fresh creamy dairy milk perfect for your family.")</f>
        <v>Fresh creamy dairy milk perfect for your family.</v>
      </c>
      <c r="C33" s="6" t="str">
        <f>IFERROR(__xludf.DUMMYFUNCTION("AI(""Generate brief summary for the product descriptions in columnB using 3 keywords"")"),"Fresh, creamy, dairy")</f>
        <v>Fresh, creamy, dairy</v>
      </c>
      <c r="D33" s="7" t="str">
        <f>IFERROR(__xludf.DUMMYFUNCTION("AI(""translate product desptions in column B to Igbo"")"),"Mmiri ara ehi dị mma ma dị ude maka ezinụlọ gị.")</f>
        <v>Mmiri ara ehi dị mma ma dị ude maka ezinụlọ gị.</v>
      </c>
      <c r="E33" s="5" t="s">
        <v>87</v>
      </c>
      <c r="F33" s="5">
        <v>3.49</v>
      </c>
      <c r="G33" s="5">
        <v>13.74</v>
      </c>
      <c r="H33" s="5">
        <v>2.61</v>
      </c>
      <c r="I33" s="5">
        <v>27.0</v>
      </c>
      <c r="J33" s="5" t="s">
        <v>103</v>
      </c>
      <c r="L33" s="5">
        <v>5.0</v>
      </c>
      <c r="M33" s="5" t="s">
        <v>44</v>
      </c>
      <c r="N33" s="5" t="s">
        <v>34</v>
      </c>
      <c r="O33" s="5" t="s">
        <v>28</v>
      </c>
      <c r="P33" s="5" t="str">
        <f>IFERROR(__xludf.DUMMYFUNCTION("AI(""Extract and delete ratings from Column P2:P101"")"),"4, 3, 5")</f>
        <v>4, 3, 5</v>
      </c>
      <c r="Q33" s="5" t="str">
        <f>IFERROR(__xludf.DUMMYFUNCTION("AI(""Extract onlu Reviews in column P2:P101"")"),"- Very satisfied\!
  - Would not buy again\!
  - Great value for money\!")</f>
        <v>- Very satisfied\!
  - Would not buy again\!
  - Great value for money\!</v>
      </c>
      <c r="R33" s="5" t="str">
        <f>IFERROR(__xludf.DUMMYFUNCTION("AI(""Retain only date and time in column Q2:Q101 remove any unimportant information"")"),"2025-04-30 09:41:02")</f>
        <v>2025-04-30 09:41:02</v>
      </c>
      <c r="S33" s="7" t="str">
        <f>IFERROR(__xludf.DUMMYFUNCTION("AI(""Extract only emails from Column P2:P101"")"),"nicholas.bailey@x.dummyjson.com, harper.turner@x.dummyjson.com, autumn.gomez@x.dummyjson.com")</f>
        <v>nicholas.bailey@x.dummyjson.com, harper.turner@x.dummyjson.com, autumn.gomez@x.dummyjson.com</v>
      </c>
      <c r="T33" s="7" t="str">
        <f>IFERROR(__xludf.DUMMYFUNCTION("AI(""Analyse the consumers' reviews in Column Q2:Q101 using 2words"")"),"Mixed feedback")</f>
        <v>Mixed feedback</v>
      </c>
      <c r="U33" s="5" t="s">
        <v>35</v>
      </c>
      <c r="V33" s="5">
        <v>5.0</v>
      </c>
    </row>
    <row r="34" ht="22.5" customHeight="1">
      <c r="A34" s="5" t="s">
        <v>117</v>
      </c>
      <c r="B34" s="6" t="str">
        <f>IFERROR(__xludf.DUMMYFUNCTION("AI(""Generate catchy and well detailed product descriptions in 8words for the products in Column A"")"),"Sweet, juicy mulberries: nature's plump and flavorful treats.")</f>
        <v>Sweet, juicy mulberries: nature's plump and flavorful treats.</v>
      </c>
      <c r="C34" s="6" t="str">
        <f>IFERROR(__xludf.DUMMYFUNCTION("AI(""Generate brief summary for the product descriptions in columnB using 3 keywords"")"),"Sweet, juicy, flavorful")</f>
        <v>Sweet, juicy, flavorful</v>
      </c>
      <c r="D34" s="7" t="str">
        <f>IFERROR(__xludf.DUMMYFUNCTION("AI(""translate product desptions in column B to Igbo"")"),"Mulberry na-atọ ụtọ, nwee mmiri: ihe oriri okike dị n'ụdị na-atọ ụtọ.")</f>
        <v>Mulberry na-atọ ụtọ, nwee mmiri: ihe oriri okike dị n'ụdị na-atọ ụtọ.</v>
      </c>
      <c r="E34" s="5" t="s">
        <v>87</v>
      </c>
      <c r="F34" s="5">
        <v>4.99</v>
      </c>
      <c r="G34" s="5">
        <v>12.87</v>
      </c>
      <c r="H34" s="5">
        <v>4.95</v>
      </c>
      <c r="I34" s="5">
        <v>99.0</v>
      </c>
      <c r="J34" s="5" t="s">
        <v>88</v>
      </c>
      <c r="L34" s="5">
        <v>5.0</v>
      </c>
      <c r="M34" s="5" t="s">
        <v>81</v>
      </c>
      <c r="N34" s="5" t="s">
        <v>45</v>
      </c>
      <c r="O34" s="5" t="s">
        <v>28</v>
      </c>
      <c r="P34" s="5" t="str">
        <f>IFERROR(__xludf.DUMMYFUNCTION("AI(""Extract and delete ratings from Column P2:P101"")"),"5, 2, 1")</f>
        <v>5, 2, 1</v>
      </c>
      <c r="Q34" s="5" t="str">
        <f>IFERROR(__xludf.DUMMYFUNCTION("AI(""Extract onlu Reviews in column P2:P101"")"),"- Fast shipping\!
  - Not worth the price\!
  - Would not buy again\!")</f>
        <v>- Fast shipping\!
  - Not worth the price\!
  - Would not buy again\!</v>
      </c>
      <c r="R34" s="5" t="str">
        <f>IFERROR(__xludf.DUMMYFUNCTION("AI(""Retain only date and time in column Q2:Q101 remove any unimportant information"")"),"2025-04-30 09:41:02")</f>
        <v>2025-04-30 09:41:02</v>
      </c>
      <c r="S34" s="7" t="str">
        <f>IFERROR(__xludf.DUMMYFUNCTION("AI(""Extract only emails from Column P2:P101"")"),"avery.barnes@x.dummyjson.com, sadie.morales@x.dummyjson.com, oscar.powers@x.dummyjson.com")</f>
        <v>avery.barnes@x.dummyjson.com, sadie.morales@x.dummyjson.com, oscar.powers@x.dummyjson.com</v>
      </c>
      <c r="T34" s="7" t="str">
        <f>IFERROR(__xludf.DUMMYFUNCTION("AI(""Analyse the consumers' reviews in Column Q2:Q101 using 2words"")"),"Mixed Feedback")</f>
        <v>Mixed Feedback</v>
      </c>
      <c r="U34" s="5" t="s">
        <v>29</v>
      </c>
      <c r="V34" s="5">
        <v>43.0</v>
      </c>
    </row>
    <row r="35" ht="22.5" customHeight="1">
      <c r="A35" s="5" t="s">
        <v>118</v>
      </c>
      <c r="B35" s="6" t="str">
        <f>IFERROR(__xludf.DUMMYFUNCTION("AI(""Generate catchy and well detailed product descriptions in 8words for the products in Column A"")"),"Bold rich instant coffee for your morning energy.")</f>
        <v>Bold rich instant coffee for your morning energy.</v>
      </c>
      <c r="C35" s="6" t="str">
        <f>IFERROR(__xludf.DUMMYFUNCTION("AI(""Generate brief summary for the product descriptions in columnB using 3 keywords"")"),"Bold, rich, energy")</f>
        <v>Bold, rich, energy</v>
      </c>
      <c r="D35" s="7" t="str">
        <f>IFERROR(__xludf.DUMMYFUNCTION("AI(""translate product desptions in column B to Igbo"")"),"Kọfị siri ike ma baa ọgaranya maka ume ụtụtụ gị.")</f>
        <v>Kọfị siri ike ma baa ọgaranya maka ume ụtụtụ gị.</v>
      </c>
      <c r="E35" s="5" t="s">
        <v>87</v>
      </c>
      <c r="F35" s="5">
        <v>7.99</v>
      </c>
      <c r="G35" s="5">
        <v>1.59</v>
      </c>
      <c r="H35" s="5">
        <v>4.82</v>
      </c>
      <c r="I35" s="5">
        <v>57.0</v>
      </c>
      <c r="J35" s="5" t="s">
        <v>119</v>
      </c>
      <c r="L35" s="5">
        <v>6.0</v>
      </c>
      <c r="M35" s="5" t="s">
        <v>33</v>
      </c>
      <c r="N35" s="5" t="s">
        <v>40</v>
      </c>
      <c r="O35" s="5" t="s">
        <v>28</v>
      </c>
      <c r="P35" s="5" t="str">
        <f>IFERROR(__xludf.DUMMYFUNCTION("AI(""Extract and delete ratings from Column P2:P101"")"),"5, 5, 4")</f>
        <v>5, 5, 4</v>
      </c>
      <c r="Q35" s="5" t="str">
        <f>IFERROR(__xludf.DUMMYFUNCTION("AI(""Extract onlu Reviews in column P2:P101"")"),"- Very pleased\!
  - Highly recommended\!
  - Would buy again\!")</f>
        <v>- Very pleased\!
  - Highly recommended\!
  - Would buy again\!</v>
      </c>
      <c r="R35" s="5" t="str">
        <f>IFERROR(__xludf.DUMMYFUNCTION("AI(""Retain only date and time in column Q2:Q101 remove any unimportant information"")"),"2025-04-30 09:41:02")</f>
        <v>2025-04-30 09:41:02</v>
      </c>
      <c r="S35" s="7" t="str">
        <f>IFERROR(__xludf.DUMMYFUNCTION("AI(""Extract only emails from Column P2:P101"")"),"gabriel.adams@x.dummyjson.com, ella.cook@x.dummyjson.com, logan.torres@x.dummyjson.com")</f>
        <v>gabriel.adams@x.dummyjson.com, ella.cook@x.dummyjson.com, logan.torres@x.dummyjson.com</v>
      </c>
      <c r="T35" s="7" t="str">
        <f>IFERROR(__xludf.DUMMYFUNCTION("AI(""Analyse the consumers' reviews in Column Q2:Q101 using 2words"")"),"Very positive")</f>
        <v>Very positive</v>
      </c>
      <c r="U35" s="5" t="s">
        <v>96</v>
      </c>
      <c r="V35" s="5">
        <v>8.0</v>
      </c>
    </row>
    <row r="36" ht="22.5" customHeight="1">
      <c r="A36" s="5" t="s">
        <v>120</v>
      </c>
      <c r="B36" s="6" t="str">
        <f>IFERROR(__xludf.DUMMYFUNCTION("AI(""Generate catchy and well detailed product descriptions in 8words for the products in Column A"")"),"Fresh, versatile potatoes perfect for roasting, mashing, or frying.")</f>
        <v>Fresh, versatile potatoes perfect for roasting, mashing, or frying.</v>
      </c>
      <c r="C36" s="6" t="str">
        <f>IFERROR(__xludf.DUMMYFUNCTION("AI(""Generate brief summary for the product descriptions in columnB using 3 keywords"")"),"Fresh, versatile, potatoes")</f>
        <v>Fresh, versatile, potatoes</v>
      </c>
      <c r="D36" s="7" t="str">
        <f>IFERROR(__xludf.DUMMYFUNCTION("AI(""translate product desptions in column B to Igbo"")"),"Nduku ohuru, nwere ike iji mee otutu ihe, di nma maka ihu n'oku, izocha, ma o bu ighe n'oku.")</f>
        <v>Nduku ohuru, nwere ike iji mee otutu ihe, di nma maka ihu n'oku, izocha, ma o bu ighe n'oku.</v>
      </c>
      <c r="E36" s="5" t="s">
        <v>87</v>
      </c>
      <c r="F36" s="5">
        <v>2.29</v>
      </c>
      <c r="G36" s="5">
        <v>5.38</v>
      </c>
      <c r="H36" s="5">
        <v>4.81</v>
      </c>
      <c r="I36" s="5">
        <v>13.0</v>
      </c>
      <c r="J36" s="5" t="s">
        <v>98</v>
      </c>
      <c r="L36" s="5">
        <v>9.0</v>
      </c>
      <c r="M36" s="5" t="s">
        <v>44</v>
      </c>
      <c r="N36" s="5" t="s">
        <v>27</v>
      </c>
      <c r="O36" s="5" t="s">
        <v>28</v>
      </c>
      <c r="P36" s="5" t="str">
        <f>IFERROR(__xludf.DUMMYFUNCTION("AI(""Extract and delete ratings from Column P2:P101"")"),"5, 4, 5")</f>
        <v>5, 4, 5</v>
      </c>
      <c r="Q36" s="5" t="str">
        <f>IFERROR(__xludf.DUMMYFUNCTION("AI(""Extract onlu Reviews in column P2:P101"")"),"- Highly impressed\!
  - Fast shipping\!
  - Highly recommended\!")</f>
        <v>- Highly impressed\!
  - Fast shipping\!
  - Highly recommended\!</v>
      </c>
      <c r="R36" s="5" t="str">
        <f>IFERROR(__xludf.DUMMYFUNCTION("AI(""Retain only date and time in column Q2:Q101 remove any unimportant information"")"),"2025-04-30 09:41:02")</f>
        <v>2025-04-30 09:41:02</v>
      </c>
      <c r="S36" s="7" t="str">
        <f>IFERROR(__xludf.DUMMYFUNCTION("AI(""Extract only emails from Column P2:P101"")"),"eleanor.collins@x.dummyjson.com, lily.torres@x.dummyjson.com, ariana.ross@x.dummyjson.com")</f>
        <v>eleanor.collins@x.dummyjson.com, lily.torres@x.dummyjson.com, ariana.ross@x.dummyjson.com</v>
      </c>
      <c r="T36" s="7" t="str">
        <f>IFERROR(__xludf.DUMMYFUNCTION("AI(""Analyse the consumers' reviews in Column Q2:Q101 using 2words"")"),"Highly positive")</f>
        <v>Highly positive</v>
      </c>
      <c r="U36" s="5" t="s">
        <v>55</v>
      </c>
      <c r="V36" s="5">
        <v>9.0</v>
      </c>
    </row>
    <row r="37" ht="22.5" customHeight="1">
      <c r="A37" s="5" t="s">
        <v>121</v>
      </c>
      <c r="B37" s="6" t="str">
        <f>IFERROR(__xludf.DUMMYFUNCTION("AI(""Generate catchy and well detailed product descriptions in 8words for the products in Column A"")"),"Premium muscle building formula for peak physical performance")</f>
        <v>Premium muscle building formula for peak physical performance</v>
      </c>
      <c r="C37" s="6" t="str">
        <f>IFERROR(__xludf.DUMMYFUNCTION("AI(""Generate brief summary for the product descriptions in columnB using 3 keywords"")"),"Premium, muscle-building, performance")</f>
        <v>Premium, muscle-building, performance</v>
      </c>
      <c r="D37" s="7" t="str">
        <f>IFERROR(__xludf.DUMMYFUNCTION("AI(""translate product desptions in column B to Igbo"")"),"Usoro eji ewulite ahụ ike dị elu maka ịrụ ọrụ kachasị mma n'egwuregwu.")</f>
        <v>Usoro eji ewulite ahụ ike dị elu maka ịrụ ọrụ kachasị mma n'egwuregwu.</v>
      </c>
      <c r="E37" s="5" t="s">
        <v>87</v>
      </c>
      <c r="F37" s="5">
        <v>19.99</v>
      </c>
      <c r="G37" s="5">
        <v>7.59</v>
      </c>
      <c r="H37" s="5">
        <v>4.18</v>
      </c>
      <c r="I37" s="5">
        <v>80.0</v>
      </c>
      <c r="J37" s="5" t="s">
        <v>122</v>
      </c>
      <c r="L37" s="5">
        <v>9.0</v>
      </c>
      <c r="M37" s="5" t="s">
        <v>26</v>
      </c>
      <c r="N37" s="5" t="s">
        <v>62</v>
      </c>
      <c r="O37" s="5" t="s">
        <v>28</v>
      </c>
      <c r="P37" s="5" t="str">
        <f>IFERROR(__xludf.DUMMYFUNCTION("AI(""Extract and delete ratings from Column P2:P101"")"),"3, 4, 4")</f>
        <v>3, 4, 4</v>
      </c>
      <c r="Q37" s="5" t="str">
        <f>IFERROR(__xludf.DUMMYFUNCTION("AI(""Extract onlu Reviews in column P2:P101"")"),"- Very unhappy with my purchase\!
  - Would buy again\!
  - Very happy with my purchase\!")</f>
        <v>- Very unhappy with my purchase\!
  - Would buy again\!
  - Very happy with my purchase\!</v>
      </c>
      <c r="R37" s="5" t="str">
        <f>IFERROR(__xludf.DUMMYFUNCTION("AI(""Retain only date and time in column Q2:Q101 remove any unimportant information"")"),"2025-04-30 09:41:02")</f>
        <v>2025-04-30 09:41:02</v>
      </c>
      <c r="S37" s="7" t="str">
        <f>IFERROR(__xludf.DUMMYFUNCTION("AI(""Extract only emails from Column P2:P101"")"),"aurora.rodriguez@x.dummyjson.com, miles.stevenson@x.dummyjson.com, clara.berry@x.dummyjson.com")</f>
        <v>aurora.rodriguez@x.dummyjson.com, miles.stevenson@x.dummyjson.com, clara.berry@x.dummyjson.com</v>
      </c>
      <c r="T37" s="7" t="str">
        <f>IFERROR(__xludf.DUMMYFUNCTION("AI(""Analyse the consumers' reviews in Column Q2:Q101 using 2words"")"),"Mixed Feedback")</f>
        <v>Mixed Feedback</v>
      </c>
      <c r="U37" s="5" t="s">
        <v>29</v>
      </c>
      <c r="V37" s="5">
        <v>6.0</v>
      </c>
    </row>
    <row r="38" ht="22.5" customHeight="1">
      <c r="A38" s="5" t="s">
        <v>123</v>
      </c>
      <c r="B38" s="6" t="str">
        <f>IFERROR(__xludf.DUMMYFUNCTION("AI(""Generate catchy and well detailed product descriptions in 8words for the products in Column A"")"),"Vibrant red onions add crisp texture and flavor.")</f>
        <v>Vibrant red onions add crisp texture and flavor.</v>
      </c>
      <c r="C38" s="6" t="str">
        <f>IFERROR(__xludf.DUMMYFUNCTION("AI(""Generate brief summary for the product descriptions in columnB using 3 keywords"")"),"Vibrant, crisp, flavorful")</f>
        <v>Vibrant, crisp, flavorful</v>
      </c>
      <c r="D38" s="7" t="str">
        <f>IFERROR(__xludf.DUMMYFUNCTION("AI(""translate product desptions in column B to Igbo"")"),"Yabasị uhie na-enye ụtọ na ọdịdị pụrụ iche.")</f>
        <v>Yabasị uhie na-enye ụtọ na ọdịdị pụrụ iche.</v>
      </c>
      <c r="E38" s="5" t="s">
        <v>87</v>
      </c>
      <c r="F38" s="5">
        <v>1.99</v>
      </c>
      <c r="G38" s="5">
        <v>9.9</v>
      </c>
      <c r="H38" s="5">
        <v>4.2</v>
      </c>
      <c r="I38" s="5">
        <v>82.0</v>
      </c>
      <c r="J38" s="5" t="s">
        <v>98</v>
      </c>
      <c r="L38" s="5">
        <v>9.0</v>
      </c>
      <c r="M38" s="5" t="s">
        <v>49</v>
      </c>
      <c r="N38" s="5" t="s">
        <v>27</v>
      </c>
      <c r="O38" s="5" t="s">
        <v>28</v>
      </c>
      <c r="P38" s="5" t="str">
        <f>IFERROR(__xludf.DUMMYFUNCTION("AI(""Extract and delete ratings from Column P2:P101"")"),"4, 3, 5")</f>
        <v>4, 3, 5</v>
      </c>
      <c r="Q38" s="5" t="str">
        <f>IFERROR(__xludf.DUMMYFUNCTION("AI(""Extract onlu Reviews in column P2:P101"")"),"- Fast shipping\!
  - Very dissatisfied\!
  - Awesome product\!")</f>
        <v>- Fast shipping\!
  - Very dissatisfied\!
  - Awesome product\!</v>
      </c>
      <c r="R38" s="5" t="str">
        <f>IFERROR(__xludf.DUMMYFUNCTION("AI(""Retain only date and time in column Q2:Q101 remove any unimportant information"")"),"2025-04-30 09:41:02")</f>
        <v>2025-04-30 09:41:02</v>
      </c>
      <c r="S38" s="7" t="str">
        <f>IFERROR(__xludf.DUMMYFUNCTION("AI(""Extract only emails from Column P2:P101"")"),"maya.reed@x.dummyjson.com, evelyn.gonzalez@x.dummyjson.com, jackson.evans@x.dummyjson.com")</f>
        <v>maya.reed@x.dummyjson.com, evelyn.gonzalez@x.dummyjson.com, jackson.evans@x.dummyjson.com</v>
      </c>
      <c r="T38" s="7" t="str">
        <f>IFERROR(__xludf.DUMMYFUNCTION("AI(""Analyse the consumers' reviews in Column Q2:Q101 using 2words"")"),"Mixed feedback")</f>
        <v>Mixed feedback</v>
      </c>
      <c r="U38" s="5" t="s">
        <v>35</v>
      </c>
      <c r="V38" s="5">
        <v>8.0</v>
      </c>
    </row>
    <row r="39" ht="22.5" customHeight="1">
      <c r="A39" s="5" t="s">
        <v>124</v>
      </c>
      <c r="B39" s="6" t="str">
        <f>IFERROR(__xludf.DUMMYFUNCTION("AI(""Generate catchy and well detailed product descriptions in 8words for the products in Column A"")"),"High quality long grain rice for perfect meals.")</f>
        <v>High quality long grain rice for perfect meals.</v>
      </c>
      <c r="C39" s="6" t="str">
        <f>IFERROR(__xludf.DUMMYFUNCTION("AI(""Generate brief summary for the product descriptions in columnB using 3 keywords"")"),"High-quality, long-grain, meals")</f>
        <v>High-quality, long-grain, meals</v>
      </c>
      <c r="D39" s="7" t="str">
        <f>IFERROR(__xludf.DUMMYFUNCTION("AI(""translate product desptions in column B to Igbo"")"),"Osikapa nwere mkpụrụ ogologo nke ụdị dị elu maka nri zuru oke.")</f>
        <v>Osikapa nwere mkpụrụ ogologo nke ụdị dị elu maka nri zuru oke.</v>
      </c>
      <c r="E39" s="5" t="s">
        <v>87</v>
      </c>
      <c r="F39" s="5">
        <v>5.99</v>
      </c>
      <c r="G39" s="5">
        <v>9.29</v>
      </c>
      <c r="H39" s="5">
        <v>3.18</v>
      </c>
      <c r="I39" s="5">
        <v>59.0</v>
      </c>
      <c r="J39" s="5" t="s">
        <v>125</v>
      </c>
      <c r="L39" s="5">
        <v>5.0</v>
      </c>
      <c r="M39" s="5" t="s">
        <v>66</v>
      </c>
      <c r="N39" s="5" t="s">
        <v>50</v>
      </c>
      <c r="O39" s="5" t="s">
        <v>28</v>
      </c>
      <c r="P39" s="5" t="str">
        <f>IFERROR(__xludf.DUMMYFUNCTION("AI(""Extract and delete ratings from Column P2:P101"")"),"5, 4, 1")</f>
        <v>5, 4, 1</v>
      </c>
      <c r="Q39" s="5" t="str">
        <f>IFERROR(__xludf.DUMMYFUNCTION("AI(""Extract onlu Reviews in column P2:P101"")"),"- Would buy again\!
  - Very satisfied\!
  - Very disappointed\!")</f>
        <v>- Would buy again\!
  - Very satisfied\!
  - Very disappointed\!</v>
      </c>
      <c r="R39" s="5" t="str">
        <f>IFERROR(__xludf.DUMMYFUNCTION("AI(""Retain only date and time in column Q2:Q101 remove any unimportant information"")"),"2025-04-30 09:41:02")</f>
        <v>2025-04-30 09:41:02</v>
      </c>
      <c r="S39" s="7" t="str">
        <f>IFERROR(__xludf.DUMMYFUNCTION("AI(""Extract only emails from Column P2:P101"")"),"sophia.brown@x.dummyjson.com, grace.perry@x.dummyjson.com, cameron.burke@x.dummyjson.com")</f>
        <v>sophia.brown@x.dummyjson.com, grace.perry@x.dummyjson.com, cameron.burke@x.dummyjson.com</v>
      </c>
      <c r="T39" s="7" t="str">
        <f>IFERROR(__xludf.DUMMYFUNCTION("AI(""Analyse the consumers' reviews in Column Q2:Q101 using 2words"")"),"Mixed feedback")</f>
        <v>Mixed feedback</v>
      </c>
      <c r="U39" s="5" t="s">
        <v>29</v>
      </c>
      <c r="V39" s="5">
        <v>20.0</v>
      </c>
    </row>
    <row r="40" ht="22.5" customHeight="1">
      <c r="A40" s="5" t="s">
        <v>126</v>
      </c>
      <c r="B40" s="6" t="str">
        <f>IFERROR(__xludf.DUMMYFUNCTION("AI(""Generate catchy and well detailed product descriptions in 8words for the products in Column A"")"),"Refreshing, bubbly beverages perfect for every thirsty occasion.")</f>
        <v>Refreshing, bubbly beverages perfect for every thirsty occasion.</v>
      </c>
      <c r="C40" s="6" t="str">
        <f>IFERROR(__xludf.DUMMYFUNCTION("AI(""Generate brief summary for the product descriptions in columnB using 3 keywords"")"),"Refreshing, bubbly, beverages")</f>
        <v>Refreshing, bubbly, beverages</v>
      </c>
      <c r="D40" s="7" t="str">
        <f>IFERROR(__xludf.DUMMYFUNCTION("AI(""translate product desptions in column B to Igbo"")"),"Ihe ọṅụṅụ na-enye ume ọhụrụ, na-agbọ afụ kwesịrị ekwesị maka oge ọ bụla akpịrị na-akpọ nkụ.")</f>
        <v>Ihe ọṅụṅụ na-enye ume ọhụrụ, na-agbọ afụ kwesịrị ekwesị maka oge ọ bụla akpịrị na-akpọ nkụ.</v>
      </c>
      <c r="E40" s="5" t="s">
        <v>87</v>
      </c>
      <c r="F40" s="5">
        <v>1.99</v>
      </c>
      <c r="G40" s="5">
        <v>17.48</v>
      </c>
      <c r="H40" s="5">
        <v>4.75</v>
      </c>
      <c r="I40" s="5">
        <v>53.0</v>
      </c>
      <c r="J40" s="5" t="s">
        <v>113</v>
      </c>
      <c r="L40" s="5">
        <v>9.0</v>
      </c>
      <c r="M40" s="5" t="s">
        <v>66</v>
      </c>
      <c r="N40" s="5" t="s">
        <v>34</v>
      </c>
      <c r="O40" s="5" t="s">
        <v>28</v>
      </c>
      <c r="P40" s="5" t="str">
        <f>IFERROR(__xludf.DUMMYFUNCTION("AI(""Extract and delete ratings from Column P2:P101"")"),"2, 2, 5")</f>
        <v>2, 2, 5</v>
      </c>
      <c r="Q40" s="5" t="str">
        <f>IFERROR(__xludf.DUMMYFUNCTION("AI(""Extract onlu Reviews in column P2:P101"")"),"- Would not recommend\!
  - Would not recommend\!
  - Highly recommended\!")</f>
        <v>- Would not recommend\!
  - Would not recommend\!
  - Highly recommended\!</v>
      </c>
      <c r="R40" s="5" t="str">
        <f>IFERROR(__xludf.DUMMYFUNCTION("AI(""Retain only date and time in column Q2:Q101 remove any unimportant information"")"),"2025-04-30 09:41:02")</f>
        <v>2025-04-30 09:41:02</v>
      </c>
      <c r="S40" s="7" t="str">
        <f>IFERROR(__xludf.DUMMYFUNCTION("AI(""Extract only emails from Column P2:P101"")"),"zachary.lee@x.dummyjson.com, oscar.powers@x.dummyjson.com, hannah.robinson@x.dummyjson.com")</f>
        <v>zachary.lee@x.dummyjson.com, oscar.powers@x.dummyjson.com, hannah.robinson@x.dummyjson.com</v>
      </c>
      <c r="T40" s="7" t="str">
        <f>IFERROR(__xludf.DUMMYFUNCTION("AI(""Analyse the consumers' reviews in Column Q2:Q101 using 2words"")"),"Mixed feedback")</f>
        <v>Mixed feedback</v>
      </c>
      <c r="U40" s="5" t="s">
        <v>35</v>
      </c>
      <c r="V40" s="5">
        <v>10.0</v>
      </c>
    </row>
    <row r="41" ht="22.5" customHeight="1">
      <c r="A41" s="5" t="s">
        <v>127</v>
      </c>
      <c r="B41" s="6" t="str">
        <f>IFERROR(__xludf.DUMMYFUNCTION("AI(""Generate catchy and well detailed product descriptions in 8words for the products in Column A"")"),"Sweet sun-ripened strawberries perfect for snacking or desserts")</f>
        <v>Sweet sun-ripened strawberries perfect for snacking or desserts</v>
      </c>
      <c r="C41" s="6" t="str">
        <f>IFERROR(__xludf.DUMMYFUNCTION("AI(""Generate brief summary for the product descriptions in columnB using 3 keywords"")"),"Sweet, sun-ripened, snacking")</f>
        <v>Sweet, sun-ripened, snacking</v>
      </c>
      <c r="D41" s="7" t="str">
        <f>IFERROR(__xludf.DUMMYFUNCTION("AI(""translate product desptions in column B to Igbo"")"),"Mkpụrụ osisi strawberry chara n'anwụ ma dị ụtọ nke ọma maka nri ma ọ bụ ihe eji amị ọnụ mmiri.")</f>
        <v>Mkpụrụ osisi strawberry chara n'anwụ ma dị ụtọ nke ọma maka nri ma ọ bụ ihe eji amị ọnụ mmiri.</v>
      </c>
      <c r="E41" s="5" t="s">
        <v>87</v>
      </c>
      <c r="F41" s="5">
        <v>3.99</v>
      </c>
      <c r="G41" s="5">
        <v>1.12</v>
      </c>
      <c r="H41" s="5">
        <v>3.08</v>
      </c>
      <c r="I41" s="5">
        <v>46.0</v>
      </c>
      <c r="J41" s="5" t="s">
        <v>88</v>
      </c>
      <c r="L41" s="5">
        <v>1.0</v>
      </c>
      <c r="M41" s="5" t="s">
        <v>26</v>
      </c>
      <c r="N41" s="5" t="s">
        <v>40</v>
      </c>
      <c r="O41" s="5" t="s">
        <v>28</v>
      </c>
      <c r="P41" s="5" t="str">
        <f>IFERROR(__xludf.DUMMYFUNCTION("AI(""Extract and delete ratings from Column P2:P101"")"),"3, 3, 4")</f>
        <v>3, 3, 4</v>
      </c>
      <c r="Q41" s="5" t="str">
        <f>IFERROR(__xludf.DUMMYFUNCTION("AI(""Extract onlu Reviews in column P2:P101"")"),"- Would not buy again\!
  - Would not buy again\!
  - Would buy again\!")</f>
        <v>- Would not buy again\!
  - Would not buy again\!
  - Would buy again\!</v>
      </c>
      <c r="R41" s="5" t="str">
        <f>IFERROR(__xludf.DUMMYFUNCTION("AI(""Retain only date and time in column Q2:Q101 remove any unimportant information"")"),"2025-04-30 09:41:02")</f>
        <v>2025-04-30 09:41:02</v>
      </c>
      <c r="S41" s="7" t="str">
        <f>IFERROR(__xludf.DUMMYFUNCTION("AI(""Extract only emails from Column P2:P101"")"),"amelia.perez@x.dummyjson.com, olivia.wilson@x.dummyjson.com, hunter.gordon@x.dummyjson.com")</f>
        <v>amelia.perez@x.dummyjson.com, olivia.wilson@x.dummyjson.com, hunter.gordon@x.dummyjson.com</v>
      </c>
      <c r="T41" s="7" t="str">
        <f>IFERROR(__xludf.DUMMYFUNCTION("AI(""Analyse the consumers' reviews in Column Q2:Q101 using 2words"")"),"Mixed feedback")</f>
        <v>Mixed feedback</v>
      </c>
      <c r="U41" s="5" t="s">
        <v>29</v>
      </c>
      <c r="V41" s="5">
        <v>12.0</v>
      </c>
    </row>
    <row r="42" ht="22.5" customHeight="1">
      <c r="A42" s="5" t="s">
        <v>128</v>
      </c>
      <c r="B42" s="6" t="str">
        <f>IFERROR(__xludf.DUMMYFUNCTION("AI(""Generate catchy and well detailed product descriptions in 8words for the products in Column A"")"),"Soft and strong facial tissues for ultimate comfort.")</f>
        <v>Soft and strong facial tissues for ultimate comfort.</v>
      </c>
      <c r="C42" s="6" t="str">
        <f>IFERROR(__xludf.DUMMYFUNCTION("AI(""Generate brief summary for the product descriptions in columnB using 3 keywords"")"),"Soft, strong, comfort")</f>
        <v>Soft, strong, comfort</v>
      </c>
      <c r="D42" s="7" t="str">
        <f>IFERROR(__xludf.DUMMYFUNCTION("AI(""translate product desptions in column B to Igbo"")"),"Akwụkwọ tishu ihu dị nro ma dị ike maka nkasi obi kachasị.")</f>
        <v>Akwụkwọ tishu ihu dị nro ma dị ike maka nkasi obi kachasị.</v>
      </c>
      <c r="E42" s="5" t="s">
        <v>87</v>
      </c>
      <c r="F42" s="5">
        <v>2.49</v>
      </c>
      <c r="G42" s="5">
        <v>13.28</v>
      </c>
      <c r="H42" s="5">
        <v>2.69</v>
      </c>
      <c r="I42" s="5">
        <v>86.0</v>
      </c>
      <c r="J42" s="5" t="s">
        <v>129</v>
      </c>
      <c r="L42" s="5">
        <v>1.0</v>
      </c>
      <c r="M42" s="5" t="s">
        <v>101</v>
      </c>
      <c r="N42" s="5" t="s">
        <v>40</v>
      </c>
      <c r="O42" s="5" t="s">
        <v>28</v>
      </c>
      <c r="P42" s="5" t="str">
        <f>IFERROR(__xludf.DUMMYFUNCTION("AI(""Extract and delete ratings from Column P2:P101"")"),"1, 5, 5")</f>
        <v>1, 5, 5</v>
      </c>
      <c r="Q42" s="5" t="str">
        <f>IFERROR(__xludf.DUMMYFUNCTION("AI(""Extract onlu Reviews in column P2:P101"")"),"- Not as described\!
  - Fast shipping\!
  - Great value for money\!")</f>
        <v>- Not as described\!
  - Fast shipping\!
  - Great value for money\!</v>
      </c>
      <c r="R42" s="5" t="str">
        <f>IFERROR(__xludf.DUMMYFUNCTION("AI(""Retain only date and time in column Q2:Q101 remove any unimportant information"")"),"2025-04-30 09:41:02")</f>
        <v>2025-04-30 09:41:02</v>
      </c>
      <c r="S42" s="7" t="str">
        <f>IFERROR(__xludf.DUMMYFUNCTION("AI(""Extract only emails from Column P2:P101"")"),"ariana.ross@x.dummyjson.com, carter.baker@x.dummyjson.com, penelope.harper@x.dummyjson.com")</f>
        <v>ariana.ross@x.dummyjson.com, carter.baker@x.dummyjson.com, penelope.harper@x.dummyjson.com</v>
      </c>
      <c r="T42" s="7" t="str">
        <f>IFERROR(__xludf.DUMMYFUNCTION("AI(""Analyse the consumers' reviews in Column Q2:Q101 using 2words"")"),"Mixed feedback")</f>
        <v>Mixed feedback</v>
      </c>
      <c r="U42" s="5" t="s">
        <v>55</v>
      </c>
      <c r="V42" s="5">
        <v>44.0</v>
      </c>
    </row>
    <row r="43" ht="22.5" customHeight="1">
      <c r="A43" s="5" t="s">
        <v>130</v>
      </c>
      <c r="B43" s="6" t="str">
        <f>IFERROR(__xludf.DUMMYFUNCTION("AI(""Generate catchy and well detailed product descriptions in 8words for the products in Column A"")"),"Crisp natural spring water for ultimate refreshing hydration.")</f>
        <v>Crisp natural spring water for ultimate refreshing hydration.</v>
      </c>
      <c r="C43" s="6" t="str">
        <f>IFERROR(__xludf.DUMMYFUNCTION("AI(""Generate brief summary for the product descriptions in columnB using 3 keywords"")"),"Crisp, natural, hydration")</f>
        <v>Crisp, natural, hydration</v>
      </c>
      <c r="D43" s="7" t="str">
        <f>IFERROR(__xludf.DUMMYFUNCTION("AI(""translate product desptions in column B to Igbo"")"),"Mmiri iyi sitere n'okike dị ọcha maka mmeghari ahụ kacha mma.")</f>
        <v>Mmiri iyi sitere n'okike dị ọcha maka mmeghari ahụ kacha mma.</v>
      </c>
      <c r="E43" s="5" t="s">
        <v>87</v>
      </c>
      <c r="F43" s="5">
        <v>0.99</v>
      </c>
      <c r="G43" s="5">
        <v>14.92</v>
      </c>
      <c r="H43" s="5">
        <v>4.96</v>
      </c>
      <c r="I43" s="5">
        <v>53.0</v>
      </c>
      <c r="J43" s="5" t="s">
        <v>113</v>
      </c>
      <c r="L43" s="5">
        <v>4.0</v>
      </c>
      <c r="M43" s="5" t="s">
        <v>39</v>
      </c>
      <c r="N43" s="5" t="s">
        <v>62</v>
      </c>
      <c r="O43" s="5" t="s">
        <v>28</v>
      </c>
      <c r="P43" s="5" t="str">
        <f>IFERROR(__xludf.DUMMYFUNCTION("AI(""Extract and delete ratings from Column P2:P101"")"),"5, 2, 3")</f>
        <v>5, 2, 3</v>
      </c>
      <c r="Q43" s="5" t="str">
        <f>IFERROR(__xludf.DUMMYFUNCTION("AI(""Extract onlu Reviews in column P2:P101"")"),"- Highly impressed\!
  - Would not recommend\!
  - Not as described\!")</f>
        <v>- Highly impressed\!
  - Would not recommend\!
  - Not as described\!</v>
      </c>
      <c r="R43" s="5" t="str">
        <f>IFERROR(__xludf.DUMMYFUNCTION("AI(""Retain only date and time in column Q2:Q101 remove any unimportant information"")"),"2025-04-30 09:41:02")</f>
        <v>2025-04-30 09:41:02</v>
      </c>
      <c r="S43" s="7" t="str">
        <f>IFERROR(__xludf.DUMMYFUNCTION("AI(""Extract only emails from Column P2:P101"")"),"jonathan.pierce@x.dummyjson.com, grayson.coleman@x.dummyjson.com, ethan.fletcher@x.dummyjson.com")</f>
        <v>jonathan.pierce@x.dummyjson.com, grayson.coleman@x.dummyjson.com, ethan.fletcher@x.dummyjson.com</v>
      </c>
      <c r="T43" s="7" t="str">
        <f>IFERROR(__xludf.DUMMYFUNCTION("AI(""Analyse the consumers' reviews in Column Q2:Q101 using 2words"")"),"Mixed feedback")</f>
        <v>Mixed feedback</v>
      </c>
      <c r="U43" s="5" t="s">
        <v>35</v>
      </c>
      <c r="V43" s="5">
        <v>28.0</v>
      </c>
    </row>
    <row r="44" ht="22.5" customHeight="1">
      <c r="A44" s="5" t="s">
        <v>131</v>
      </c>
      <c r="B44" s="6" t="str">
        <f>IFERROR(__xludf.DUMMYFUNCTION("AI(""Generate catchy and well detailed product descriptions in 8words for the products in Column A"")"),"Beautifully crafted swing for elegant and stylish decor.")</f>
        <v>Beautifully crafted swing for elegant and stylish decor.</v>
      </c>
      <c r="C44" s="6" t="str">
        <f>IFERROR(__xludf.DUMMYFUNCTION("AI(""Generate brief summary for the product descriptions in columnB using 3 keywords"")"),"Beautiful, elegant, decor")</f>
        <v>Beautiful, elegant, decor</v>
      </c>
      <c r="D44" s="7" t="str">
        <f>IFERROR(__xludf.DUMMYFUNCTION("AI(""translate product desptions in column B to Igbo"")"),"Ihe nnyirị e rụrụ nke ọma maka ịchọ mma mara mma.")</f>
        <v>Ihe nnyirị e rụrụ nke ọma maka ịchọ mma mara mma.</v>
      </c>
      <c r="E44" s="5" t="s">
        <v>132</v>
      </c>
      <c r="F44" s="5">
        <v>59.99</v>
      </c>
      <c r="G44" s="5">
        <v>10.41</v>
      </c>
      <c r="H44" s="5">
        <v>3.16</v>
      </c>
      <c r="I44" s="5">
        <v>47.0</v>
      </c>
      <c r="J44" s="5" t="s">
        <v>133</v>
      </c>
      <c r="L44" s="5">
        <v>4.0</v>
      </c>
      <c r="M44" s="5" t="s">
        <v>26</v>
      </c>
      <c r="N44" s="5" t="s">
        <v>62</v>
      </c>
      <c r="O44" s="5" t="s">
        <v>28</v>
      </c>
      <c r="P44" s="5" t="str">
        <f>IFERROR(__xludf.DUMMYFUNCTION("AI(""Extract and delete ratings from Column P2:P101"")"),"1, 2, 3")</f>
        <v>1, 2, 3</v>
      </c>
      <c r="Q44" s="5" t="str">
        <f>IFERROR(__xludf.DUMMYFUNCTION("AI(""Extract onlu Reviews in column P2:P101"")"),"- Would not buy again\!
  - Poor quality\!
  - Very unhappy with my purchase\!")</f>
        <v>- Would not buy again\!
  - Poor quality\!
  - Very unhappy with my purchase\!</v>
      </c>
      <c r="R44" s="5" t="str">
        <f>IFERROR(__xludf.DUMMYFUNCTION("AI(""Retain only date and time in column Q2:Q101 remove any unimportant information"")"),"2025-04-30 09:41:02")</f>
        <v>2025-04-30 09:41:02</v>
      </c>
      <c r="S44" s="7" t="str">
        <f>IFERROR(__xludf.DUMMYFUNCTION("AI(""Extract only emails from Column P2:P101"")"),"daniel.cook@x.dummyjson.com, hunter.gordon@x.dummyjson.com, stella.morris@x.dummyjson.com")</f>
        <v>daniel.cook@x.dummyjson.com, hunter.gordon@x.dummyjson.com, stella.morris@x.dummyjson.com</v>
      </c>
      <c r="T44" s="7" t="str">
        <f>IFERROR(__xludf.DUMMYFUNCTION("AI(""Analyse the consumers' reviews in Column Q2:Q101 using 2words"")"),"Very negative")</f>
        <v>Very negative</v>
      </c>
      <c r="U44" s="5" t="s">
        <v>55</v>
      </c>
      <c r="V44" s="5">
        <v>8.0</v>
      </c>
    </row>
    <row r="45" ht="22.5" customHeight="1">
      <c r="A45" s="5" t="s">
        <v>134</v>
      </c>
      <c r="B45" s="6" t="str">
        <f>IFERROR(__xludf.DUMMYFUNCTION("AI(""Generate catchy and well detailed product descriptions in 8words for the products in Column A"")"),"Display cherished memories with this beautiful family frame.")</f>
        <v>Display cherished memories with this beautiful family frame.</v>
      </c>
      <c r="C45" s="6" t="str">
        <f>IFERROR(__xludf.DUMMYFUNCTION("AI(""Generate brief summary for the product descriptions in columnB using 3 keywords"")"),"Memories, family, frame")</f>
        <v>Memories, family, frame</v>
      </c>
      <c r="D45" s="7" t="str">
        <f>IFERROR(__xludf.DUMMYFUNCTION("AI(""translate product desptions in column B to Igbo"")"),"Gosipụta ncheta ndị a hụrụ n'anya site n'iji igbe foto ezinụlọ a mara mma.")</f>
        <v>Gosipụta ncheta ndị a hụrụ n'anya site n'iji igbe foto ezinụlọ a mara mma.</v>
      </c>
      <c r="E45" s="5" t="s">
        <v>132</v>
      </c>
      <c r="F45" s="5">
        <v>29.99</v>
      </c>
      <c r="G45" s="5">
        <v>14.87</v>
      </c>
      <c r="H45" s="5">
        <v>4.53</v>
      </c>
      <c r="I45" s="5">
        <v>77.0</v>
      </c>
      <c r="J45" s="5" t="s">
        <v>135</v>
      </c>
      <c r="L45" s="5">
        <v>1.0</v>
      </c>
      <c r="M45" s="5" t="s">
        <v>49</v>
      </c>
      <c r="N45" s="5" t="s">
        <v>34</v>
      </c>
      <c r="O45" s="5" t="s">
        <v>28</v>
      </c>
      <c r="P45" s="5" t="str">
        <f>IFERROR(__xludf.DUMMYFUNCTION("AI(""Extract and delete ratings from Column P2:P101"")"),"4, 5, 2")</f>
        <v>4, 5, 2</v>
      </c>
      <c r="Q45" s="5" t="str">
        <f>IFERROR(__xludf.DUMMYFUNCTION("AI(""Extract onlu Reviews in column P2:P101"")"),"- Highly impressed\!
  - Excellent quality\!
  - Very dissatisfied\!")</f>
        <v>- Highly impressed\!
  - Excellent quality\!
  - Very dissatisfied\!</v>
      </c>
      <c r="R45" s="5" t="str">
        <f>IFERROR(__xludf.DUMMYFUNCTION("AI(""Retain only date and time in column Q2:Q101 remove any unimportant information"")"),"2025-04-30 09:41:02")</f>
        <v>2025-04-30 09:41:02</v>
      </c>
      <c r="S45" s="7" t="str">
        <f>IFERROR(__xludf.DUMMYFUNCTION("AI(""Extract only emails from Column P2:P101"")"),"oscar.powers@x.dummyjson.com, austin.hudson@x.dummyjson.com, luke.cooper@x.dummyjson.com")</f>
        <v>oscar.powers@x.dummyjson.com, austin.hudson@x.dummyjson.com, luke.cooper@x.dummyjson.com</v>
      </c>
      <c r="T45" s="7" t="str">
        <f>IFERROR(__xludf.DUMMYFUNCTION("AI(""Analyse the consumers' reviews in Column Q2:Q101 using 2words"")"),"Mixed feedback")</f>
        <v>Mixed feedback</v>
      </c>
      <c r="U45" s="5" t="s">
        <v>29</v>
      </c>
      <c r="V45" s="5">
        <v>15.0</v>
      </c>
    </row>
    <row r="46" ht="22.5" customHeight="1">
      <c r="A46" s="5" t="s">
        <v>136</v>
      </c>
      <c r="B46" s="6" t="str">
        <f>IFERROR(__xludf.DUMMYFUNCTION("AI(""Generate catchy and well detailed product descriptions in 8words for the products in Column A"")"),"Elegant artificial plant adds life to any room.")</f>
        <v>Elegant artificial plant adds life to any room.</v>
      </c>
      <c r="C46" s="6" t="str">
        <f>IFERROR(__xludf.DUMMYFUNCTION("AI(""Generate brief summary for the product descriptions in columnB using 3 keywords"")"),"Elegant, artificial, decorative")</f>
        <v>Elegant, artificial, decorative</v>
      </c>
      <c r="D46" s="7" t="str">
        <f>IFERROR(__xludf.DUMMYFUNCTION("AI(""translate product desptions in column B to Igbo"")"),"Osisi aka rụrụ mara mma na-enye ọnụ ụlọ ọ bụla ndụ.")</f>
        <v>Osisi aka rụrụ mara mma na-enye ọnụ ụlọ ọ bụla ndụ.</v>
      </c>
      <c r="E46" s="5" t="s">
        <v>132</v>
      </c>
      <c r="F46" s="5">
        <v>39.99</v>
      </c>
      <c r="G46" s="5">
        <v>7.46</v>
      </c>
      <c r="H46" s="5">
        <v>4.67</v>
      </c>
      <c r="I46" s="5">
        <v>28.0</v>
      </c>
      <c r="J46" s="5" t="s">
        <v>137</v>
      </c>
      <c r="L46" s="5">
        <v>8.0</v>
      </c>
      <c r="M46" s="5" t="s">
        <v>33</v>
      </c>
      <c r="N46" s="5" t="s">
        <v>45</v>
      </c>
      <c r="O46" s="5" t="s">
        <v>28</v>
      </c>
      <c r="P46" s="5" t="str">
        <f>IFERROR(__xludf.DUMMYFUNCTION("AI(""Extract and delete ratings from Column P2:P101"")"),"5, 1, 5")</f>
        <v>5, 1, 5</v>
      </c>
      <c r="Q46" s="5" t="str">
        <f>IFERROR(__xludf.DUMMYFUNCTION("AI(""Extract onlu Reviews in column P2:P101"")"),"- Very happy with my purchase\!
  - Poor quality\!
  - Very pleased\!")</f>
        <v>- Very happy with my purchase\!
  - Poor quality\!
  - Very pleased\!</v>
      </c>
      <c r="R46" s="5" t="str">
        <f>IFERROR(__xludf.DUMMYFUNCTION("AI(""Retain only date and time in column Q2:Q101 remove any unimportant information"")"),"2025-04-30 09:41:02")</f>
        <v>2025-04-30 09:41:02</v>
      </c>
      <c r="S46" s="7" t="str">
        <f>IFERROR(__xludf.DUMMYFUNCTION("AI(""Extract only emails from Column P2:P101"")"),"natalie.harris@x.dummyjson.com, max.russell@x.dummyjson.com, nolan.gonzalez@x.dummyjson.com")</f>
        <v>natalie.harris@x.dummyjson.com, max.russell@x.dummyjson.com, nolan.gonzalez@x.dummyjson.com</v>
      </c>
      <c r="T46" s="7" t="str">
        <f>IFERROR(__xludf.DUMMYFUNCTION("AI(""Analyse the consumers' reviews in Column Q2:Q101 using 2words"")"),"Mixed Feedback")</f>
        <v>Mixed Feedback</v>
      </c>
      <c r="U46" s="5" t="s">
        <v>29</v>
      </c>
      <c r="V46" s="5">
        <v>3.0</v>
      </c>
    </row>
    <row r="47" ht="22.5" customHeight="1">
      <c r="A47" s="5" t="s">
        <v>138</v>
      </c>
      <c r="B47" s="6" t="str">
        <f>IFERROR(__xludf.DUMMYFUNCTION("AI(""Generate catchy and well detailed product descriptions in 8words for the products in Column A"")"),"Stylish durable planter perfect for showcasing indoor greenery")</f>
        <v>Stylish durable planter perfect for showcasing indoor greenery</v>
      </c>
      <c r="C47" s="6" t="str">
        <f>IFERROR(__xludf.DUMMYFUNCTION("AI(""Generate brief summary for the product descriptions in columnB using 3 keywords"")"),"Stylish, durable, greenery")</f>
        <v>Stylish, durable, greenery</v>
      </c>
      <c r="D47" s="7" t="str">
        <f>IFERROR(__xludf.DUMMYFUNCTION("AI(""translate product desptions in column B to Igbo"")"),"Ite osisi mara mma nke na-adịte aka, nke kachasị mma maka igosipụta osisi ndị dị n'ime ụlọ.")</f>
        <v>Ite osisi mara mma nke na-adịte aka, nke kachasị mma maka igosipụta osisi ndị dị n'ime ụlọ.</v>
      </c>
      <c r="E47" s="5" t="s">
        <v>132</v>
      </c>
      <c r="F47" s="5">
        <v>14.99</v>
      </c>
      <c r="G47" s="5">
        <v>6.84</v>
      </c>
      <c r="H47" s="5">
        <v>3.01</v>
      </c>
      <c r="I47" s="5">
        <v>59.0</v>
      </c>
      <c r="J47" s="5" t="s">
        <v>139</v>
      </c>
      <c r="L47" s="5">
        <v>9.0</v>
      </c>
      <c r="M47" s="5" t="s">
        <v>73</v>
      </c>
      <c r="N47" s="5" t="s">
        <v>27</v>
      </c>
      <c r="O47" s="5" t="s">
        <v>28</v>
      </c>
      <c r="P47" s="5" t="str">
        <f>IFERROR(__xludf.DUMMYFUNCTION("AI(""Extract and delete ratings from Column P2:P101"")"),"4, 5, 3")</f>
        <v>4, 5, 3</v>
      </c>
      <c r="Q47" s="5" t="str">
        <f>IFERROR(__xludf.DUMMYFUNCTION("AI(""Extract onlu Reviews in column P2:P101"")"),"- Fast shipping\!
  - Very satisfied\!
  - Poor quality\!")</f>
        <v>- Fast shipping\!
  - Very satisfied\!
  - Poor quality\!</v>
      </c>
      <c r="R47" s="5" t="str">
        <f>IFERROR(__xludf.DUMMYFUNCTION("AI(""Retain only date and time in column Q2:Q101 remove any unimportant information"")"),"2025-04-30 09:41:02")</f>
        <v>2025-04-30 09:41:02</v>
      </c>
      <c r="S47" s="7" t="str">
        <f>IFERROR(__xludf.DUMMYFUNCTION("AI(""Extract only emails from Column P2:P101"")"),"vivian.carter@x.dummyjson.com, ella.adams@x.dummyjson.com, liam.smith@x.dummyjson.com")</f>
        <v>vivian.carter@x.dummyjson.com, ella.adams@x.dummyjson.com, liam.smith@x.dummyjson.com</v>
      </c>
      <c r="T47" s="7" t="str">
        <f>IFERROR(__xludf.DUMMYFUNCTION("AI(""Analyse the consumers' reviews in Column Q2:Q101 using 2words"")"),"Mixed feedback")</f>
        <v>Mixed feedback</v>
      </c>
      <c r="U47" s="5" t="s">
        <v>96</v>
      </c>
      <c r="V47" s="5">
        <v>31.0</v>
      </c>
    </row>
    <row r="48" ht="22.5" customHeight="1">
      <c r="A48" s="5" t="s">
        <v>140</v>
      </c>
      <c r="B48" s="6" t="str">
        <f>IFERROR(__xludf.DUMMYFUNCTION("AI(""Generate catchy and well detailed product descriptions in 8words for the products in Column A"")"),"Brighten your home with this stylish table lamp.")</f>
        <v>Brighten your home with this stylish table lamp.</v>
      </c>
      <c r="C48" s="6" t="str">
        <f>IFERROR(__xludf.DUMMYFUNCTION("AI(""Generate brief summary for the product descriptions in columnB using 3 keywords"")"),"Stylish, lighting, brighten")</f>
        <v>Stylish, lighting, brighten</v>
      </c>
      <c r="D48" s="7" t="str">
        <f>IFERROR(__xludf.DUMMYFUNCTION("AI(""translate product desptions in column B to Igbo"")"),"Mee ka ụlọ gị na-enwu na oriọna tebụl a mara mma.")</f>
        <v>Mee ka ụlọ gị na-enwu na oriọna tebụl a mara mma.</v>
      </c>
      <c r="E48" s="5" t="s">
        <v>132</v>
      </c>
      <c r="F48" s="5">
        <v>49.99</v>
      </c>
      <c r="G48" s="5">
        <v>7.09</v>
      </c>
      <c r="H48" s="5">
        <v>3.55</v>
      </c>
      <c r="I48" s="5">
        <v>9.0</v>
      </c>
      <c r="J48" s="5" t="s">
        <v>141</v>
      </c>
      <c r="L48" s="5">
        <v>4.0</v>
      </c>
      <c r="M48" s="5" t="s">
        <v>39</v>
      </c>
      <c r="N48" s="5" t="s">
        <v>40</v>
      </c>
      <c r="O48" s="5" t="s">
        <v>28</v>
      </c>
      <c r="P48" s="5" t="str">
        <f>IFERROR(__xludf.DUMMYFUNCTION("AI(""Extract and delete ratings from Column P2:P101"")"),"5, 3, 5")</f>
        <v>5, 3, 5</v>
      </c>
      <c r="Q48" s="5" t="str">
        <f>IFERROR(__xludf.DUMMYFUNCTION("AI(""Extract onlu Reviews in column P2:P101"")"),"- Excellent quality\!
  - Would not recommend\!
  - Awesome product\!")</f>
        <v>- Excellent quality\!
  - Would not recommend\!
  - Awesome product\!</v>
      </c>
      <c r="R48" s="5" t="str">
        <f>IFERROR(__xludf.DUMMYFUNCTION("AI(""Retain only date and time in column Q2:Q101 remove any unimportant information"")"),"2025-04-30 09:41:02")</f>
        <v>2025-04-30 09:41:02</v>
      </c>
      <c r="S48" s="7" t="str">
        <f>IFERROR(__xludf.DUMMYFUNCTION("AI(""Extract only emails from Column P2:P101"")"),"benjamin.foster@x.dummyjson.com, sophia.jones@x.dummyjson.com, natalie.harris@x.dummyjson.com")</f>
        <v>benjamin.foster@x.dummyjson.com, sophia.jones@x.dummyjson.com, natalie.harris@x.dummyjson.com</v>
      </c>
      <c r="T48" s="7" t="str">
        <f>IFERROR(__xludf.DUMMYFUNCTION("AI(""Analyse the consumers' reviews in Column Q2:Q101 using 2words"")"),"Mixed Feedback")</f>
        <v>Mixed Feedback</v>
      </c>
      <c r="U48" s="5" t="s">
        <v>55</v>
      </c>
      <c r="V48" s="5">
        <v>2.0</v>
      </c>
    </row>
    <row r="49" ht="22.5" customHeight="1">
      <c r="A49" s="5" t="s">
        <v>142</v>
      </c>
      <c r="B49" s="6" t="str">
        <f>IFERROR(__xludf.DUMMYFUNCTION("AI(""Generate catchy and well detailed product descriptions in 8words for the products in Column A"")"),"Eco-friendly bamboo spatula for effortless stirring and flipping.")</f>
        <v>Eco-friendly bamboo spatula for effortless stirring and flipping.</v>
      </c>
      <c r="C49" s="6" t="str">
        <f>IFERROR(__xludf.DUMMYFUNCTION("AI(""Generate brief summary for the product descriptions in columnB using 3 keywords"")"),"Eco-friendly, stirring, flipping")</f>
        <v>Eco-friendly, stirring, flipping</v>
      </c>
      <c r="D49" s="7" t="str">
        <f>IFERROR(__xludf.DUMMYFUNCTION("AI(""translate product desptions in column B to Igbo"")"),"Ngaji bamboo na-adịghị emebi gburugburu ebe obibi maka ịkpali na ịtụgharị n'ụzọ dị mfe.")</f>
        <v>Ngaji bamboo na-adịghị emebi gburugburu ebe obibi maka ịkpali na ịtụgharị n'ụzọ dị mfe.</v>
      </c>
      <c r="E49" s="5" t="s">
        <v>143</v>
      </c>
      <c r="F49" s="5">
        <v>7.99</v>
      </c>
      <c r="G49" s="5">
        <v>2.84</v>
      </c>
      <c r="H49" s="5">
        <v>3.27</v>
      </c>
      <c r="I49" s="5">
        <v>37.0</v>
      </c>
      <c r="J49" s="5" t="s">
        <v>144</v>
      </c>
      <c r="L49" s="5">
        <v>3.0</v>
      </c>
      <c r="M49" s="5" t="s">
        <v>49</v>
      </c>
      <c r="N49" s="5" t="s">
        <v>50</v>
      </c>
      <c r="O49" s="5" t="s">
        <v>28</v>
      </c>
      <c r="P49" s="5" t="str">
        <f>IFERROR(__xludf.DUMMYFUNCTION("AI(""Extract and delete ratings from Column P2:P101"")"),"5, 5, 4")</f>
        <v>5, 5, 4</v>
      </c>
      <c r="Q49" s="5" t="str">
        <f>IFERROR(__xludf.DUMMYFUNCTION("AI(""Extract onlu Reviews in column P2:P101"")"),"- Awesome product\!
  - Highly recommended\!
  - Highly recommended\!")</f>
        <v>- Awesome product\!
  - Highly recommended\!
  - Highly recommended\!</v>
      </c>
      <c r="R49" s="5" t="str">
        <f>IFERROR(__xludf.DUMMYFUNCTION("AI(""Retain only date and time in column Q2:Q101 remove any unimportant information"")"),"2025-04-30 09:41:02")</f>
        <v>2025-04-30 09:41:02</v>
      </c>
      <c r="S49" s="7" t="str">
        <f>IFERROR(__xludf.DUMMYFUNCTION("AI(""Extract only emails from Column P2:P101"")"),"lucas.ramirez@x.dummyjson.com, caleb.perkins@x.dummyjson.com, nolan.gonzalez@x.dummyjson.com")</f>
        <v>lucas.ramirez@x.dummyjson.com, caleb.perkins@x.dummyjson.com, nolan.gonzalez@x.dummyjson.com</v>
      </c>
      <c r="T49" s="7" t="str">
        <f>IFERROR(__xludf.DUMMYFUNCTION("AI(""Analyse the consumers' reviews in Column Q2:Q101 using 2words"")"),"Highly positive")</f>
        <v>Highly positive</v>
      </c>
      <c r="U49" s="5" t="s">
        <v>82</v>
      </c>
      <c r="V49" s="5">
        <v>29.0</v>
      </c>
    </row>
    <row r="50" ht="22.5" customHeight="1">
      <c r="A50" s="5" t="s">
        <v>145</v>
      </c>
      <c r="B50" s="6" t="str">
        <f>IFERROR(__xludf.DUMMYFUNCTION("AI(""Generate catchy and well detailed product descriptions in 8words for the products in Column A"")"),"Sleek matte black aluminium cup for stylish hydration.")</f>
        <v>Sleek matte black aluminium cup for stylish hydration.</v>
      </c>
      <c r="C50" s="6" t="str">
        <f>IFERROR(__xludf.DUMMYFUNCTION("AI(""Generate brief summary for the product descriptions in columnB using 3 keywords"")"),"Sleek, matte, stylish")</f>
        <v>Sleek, matte, stylish</v>
      </c>
      <c r="D50" s="7" t="str">
        <f>IFERROR(__xludf.DUMMYFUNCTION("AI(""translate product desptions in column B to Igbo"")"),"Iko aluminom ojii mara mma maka ịṅụ mmiri n'ụzọ ejiji.")</f>
        <v>Iko aluminom ojii mara mma maka ịṅụ mmiri n'ụzọ ejiji.</v>
      </c>
      <c r="E50" s="5" t="s">
        <v>143</v>
      </c>
      <c r="F50" s="5">
        <v>5.99</v>
      </c>
      <c r="G50" s="5">
        <v>15.65</v>
      </c>
      <c r="H50" s="5">
        <v>4.46</v>
      </c>
      <c r="I50" s="5">
        <v>75.0</v>
      </c>
      <c r="J50" s="5" t="s">
        <v>146</v>
      </c>
      <c r="L50" s="5">
        <v>7.0</v>
      </c>
      <c r="M50" s="5" t="s">
        <v>33</v>
      </c>
      <c r="N50" s="5" t="s">
        <v>50</v>
      </c>
      <c r="O50" s="5" t="s">
        <v>28</v>
      </c>
      <c r="P50" s="5" t="str">
        <f>IFERROR(__xludf.DUMMYFUNCTION("AI(""Extract and delete ratings from Column P2:P101"")"),"3, 5, 1")</f>
        <v>3, 5, 1</v>
      </c>
      <c r="Q50" s="5" t="str">
        <f>IFERROR(__xludf.DUMMYFUNCTION("AI(""Extract onlu Reviews in column P2:P101"")"),"- Very disappointed\!
  - Great value for money\!
  - Not worth the price\!")</f>
        <v>- Very disappointed\!
  - Great value for money\!
  - Not worth the price\!</v>
      </c>
      <c r="R50" s="5" t="str">
        <f>IFERROR(__xludf.DUMMYFUNCTION("AI(""Retain only date and time in column Q2:Q101 remove any unimportant information"")"),"2025-04-30 09:41:02")</f>
        <v>2025-04-30 09:41:02</v>
      </c>
      <c r="S50" s="7" t="str">
        <f>IFERROR(__xludf.DUMMYFUNCTION("AI(""Extract only emails from Column P2:P101"")"),"alexander.hernandez@x.dummyjson.com, aurora.rodriguez@x.dummyjson.com, benjamin.foster@x.dummyjson.com")</f>
        <v>alexander.hernandez@x.dummyjson.com, aurora.rodriguez@x.dummyjson.com, benjamin.foster@x.dummyjson.com</v>
      </c>
      <c r="T50" s="7" t="str">
        <f>IFERROR(__xludf.DUMMYFUNCTION("AI(""Analyse the consumers' reviews in Column Q2:Q101 using 2words"")"),"Mixed Feedback")</f>
        <v>Mixed Feedback</v>
      </c>
      <c r="U50" s="5" t="s">
        <v>96</v>
      </c>
      <c r="V50" s="5">
        <v>48.0</v>
      </c>
    </row>
    <row r="51" ht="22.5" customHeight="1">
      <c r="A51" s="5" t="s">
        <v>147</v>
      </c>
      <c r="B51" s="6" t="str">
        <f>IFERROR(__xludf.DUMMYFUNCTION("AI(""Generate catchy and well detailed product descriptions in 8words for the products in Column A"")"),"Durable black whisk for effortless mixing and baking.")</f>
        <v>Durable black whisk for effortless mixing and baking.</v>
      </c>
      <c r="C51" s="6" t="str">
        <f>IFERROR(__xludf.DUMMYFUNCTION("AI(""Generate brief summary for the product descriptions in columnB using 3 keywords"")"),"Durable, mixing, baking")</f>
        <v>Durable, mixing, baking</v>
      </c>
      <c r="D51" s="7" t="str">
        <f>IFERROR(__xludf.DUMMYFUNCTION("AI(""translate product desptions in column B to Igbo"")"),"Ihe nkedo ojii na-adịte aka maka ịgwakọta na ịme achịcha n'enweghị mbọ.")</f>
        <v>Ihe nkedo ojii na-adịte aka maka ịgwakọta na ịme achịcha n'enweghị mbọ.</v>
      </c>
      <c r="E51" s="5" t="s">
        <v>143</v>
      </c>
      <c r="F51" s="5">
        <v>9.99</v>
      </c>
      <c r="G51" s="5">
        <v>10.24</v>
      </c>
      <c r="H51" s="5">
        <v>3.9</v>
      </c>
      <c r="I51" s="5">
        <v>73.0</v>
      </c>
      <c r="J51" s="5" t="s">
        <v>144</v>
      </c>
      <c r="L51" s="5">
        <v>1.0</v>
      </c>
      <c r="M51" s="5" t="s">
        <v>39</v>
      </c>
      <c r="N51" s="5" t="s">
        <v>62</v>
      </c>
      <c r="O51" s="5" t="s">
        <v>28</v>
      </c>
      <c r="P51" s="5" t="str">
        <f>IFERROR(__xludf.DUMMYFUNCTION("AI(""Extract and delete ratings from Column P2:P101"")"),"3, 1, 5")</f>
        <v>3, 1, 5</v>
      </c>
      <c r="Q51" s="5" t="str">
        <f>IFERROR(__xludf.DUMMYFUNCTION("AI(""Extract onlu Reviews in column P2:P101"")"),"- Not worth the price\!
  - Waste of money\!
  - Very pleased\!")</f>
        <v>- Not worth the price\!
  - Waste of money\!
  - Very pleased\!</v>
      </c>
      <c r="R51" s="5" t="str">
        <f>IFERROR(__xludf.DUMMYFUNCTION("AI(""Retain only date and time in column Q2:Q101 remove any unimportant information"")"),"2025-04-30 09:41:02")</f>
        <v>2025-04-30 09:41:02</v>
      </c>
      <c r="S51" s="7" t="str">
        <f>IFERROR(__xludf.DUMMYFUNCTION("AI(""Extract only emails from Column P2:P101"")"),"cameron.perez@x.dummyjson.com, benjamin.foster@x.dummyjson.com, paisley.bell@x.dummyjson.com")</f>
        <v>cameron.perez@x.dummyjson.com, benjamin.foster@x.dummyjson.com, paisley.bell@x.dummyjson.com</v>
      </c>
      <c r="T51" s="7" t="str">
        <f>IFERROR(__xludf.DUMMYFUNCTION("AI(""Analyse the consumers' reviews in Column Q2:Q101 using 2words"")"),"Mixed feedback")</f>
        <v>Mixed feedback</v>
      </c>
      <c r="U51" s="5" t="s">
        <v>96</v>
      </c>
      <c r="V51" s="5">
        <v>40.0</v>
      </c>
    </row>
    <row r="52" ht="22.5" customHeight="1">
      <c r="A52" s="5" t="s">
        <v>148</v>
      </c>
      <c r="B52" s="6" t="str">
        <f>IFERROR(__xludf.DUMMYFUNCTION("AI(""Generate catchy and well detailed product descriptions in 8words for the products in Column A"")"),"Powerful kitchen blender with a five year warranty")</f>
        <v>Powerful kitchen blender with a five year warranty</v>
      </c>
      <c r="C52" s="6" t="str">
        <f>IFERROR(__xludf.DUMMYFUNCTION("AI(""Generate brief summary for the product descriptions in columnB using 3 keywords"")"),"Powerful, blender, warranty")</f>
        <v>Powerful, blender, warranty</v>
      </c>
      <c r="D52" s="7" t="str">
        <f>IFERROR(__xludf.DUMMYFUNCTION("AI(""translate product desptions in column B to Igbo"")"),"Igwe na-egweri nri kichin dị ike nwere akwụkwọ ikike afọ ise.")</f>
        <v>Igwe na-egweri nri kichin dị ike nwere akwụkwọ ikike afọ ise.</v>
      </c>
      <c r="E52" s="5" t="s">
        <v>143</v>
      </c>
      <c r="F52" s="5">
        <v>39.99</v>
      </c>
      <c r="G52" s="5">
        <v>7.26</v>
      </c>
      <c r="H52" s="5">
        <v>4.56</v>
      </c>
      <c r="I52" s="5">
        <v>9.0</v>
      </c>
      <c r="J52" s="5" t="s">
        <v>149</v>
      </c>
      <c r="L52" s="5">
        <v>1.0</v>
      </c>
      <c r="M52" s="5" t="s">
        <v>77</v>
      </c>
      <c r="N52" s="5" t="s">
        <v>40</v>
      </c>
      <c r="O52" s="5" t="s">
        <v>28</v>
      </c>
      <c r="P52" s="5" t="str">
        <f>IFERROR(__xludf.DUMMYFUNCTION("AI(""Extract and delete ratings from Column P2:P101"")"),"5, 5, 5")</f>
        <v>5, 5, 5</v>
      </c>
      <c r="Q52" s="5" t="str">
        <f>IFERROR(__xludf.DUMMYFUNCTION("AI(""Extract onlu Reviews in column P2:P101"")"),"- Very pleased\!
  - Would buy again\!
  - Very happy with my purchase\!")</f>
        <v>- Very pleased\!
  - Would buy again\!
  - Very happy with my purchase\!</v>
      </c>
      <c r="R52" s="5" t="str">
        <f>IFERROR(__xludf.DUMMYFUNCTION("AI(""Retain only date and time in column Q2:Q101 remove any unimportant information"")"),"2025-04-30 09:41:02")</f>
        <v>2025-04-30 09:41:02</v>
      </c>
      <c r="S52" s="7" t="str">
        <f>IFERROR(__xludf.DUMMYFUNCTION("AI(""Extract only emails from Column P2:P101"")"),"ella.adams@x.dummyjson.com, ruby.andrews@x.dummyjson.com, aurora.lawson@x.dummyjson.com")</f>
        <v>ella.adams@x.dummyjson.com, ruby.andrews@x.dummyjson.com, aurora.lawson@x.dummyjson.com</v>
      </c>
      <c r="T52" s="7" t="str">
        <f>IFERROR(__xludf.DUMMYFUNCTION("AI(""Analyse the consumers' reviews in Column Q2:Q101 using 2words"")"),"Highly positive")</f>
        <v>Highly positive</v>
      </c>
      <c r="U52" s="5" t="s">
        <v>35</v>
      </c>
      <c r="V52" s="5">
        <v>4.0</v>
      </c>
    </row>
    <row r="53" ht="22.5" customHeight="1">
      <c r="A53" s="5" t="s">
        <v>150</v>
      </c>
      <c r="B53" s="6" t="str">
        <f>IFERROR(__xludf.DUMMYFUNCTION("AI(""Generate catchy and well detailed product descriptions in 8words for the products in Column A"")"),"Authentic carbon steel wok for perfect stir fry.")</f>
        <v>Authentic carbon steel wok for perfect stir fry.</v>
      </c>
      <c r="C53" s="6" t="str">
        <f>IFERROR(__xludf.DUMMYFUNCTION("AI(""Generate brief summary for the product descriptions in columnB using 3 keywords"")"),"Authentic, steel, stir-fry")</f>
        <v>Authentic, steel, stir-fry</v>
      </c>
      <c r="D53" s="7" t="str">
        <f>IFERROR(__xludf.DUMMYFUNCTION("AI(""translate product desptions in column B to Igbo"")"),"Wok ígwè carbon nke ezigbo ya maka ighe nri stir fry nke ọma.")</f>
        <v>Wok ígwè carbon nke ezigbo ya maka ighe nri stir fry nke ọma.</v>
      </c>
      <c r="E53" s="5" t="s">
        <v>143</v>
      </c>
      <c r="F53" s="5">
        <v>29.99</v>
      </c>
      <c r="G53" s="5">
        <v>6.53</v>
      </c>
      <c r="H53" s="5">
        <v>4.05</v>
      </c>
      <c r="I53" s="5">
        <v>40.0</v>
      </c>
      <c r="J53" s="5" t="s">
        <v>151</v>
      </c>
      <c r="L53" s="5">
        <v>2.0</v>
      </c>
      <c r="M53" s="5" t="s">
        <v>81</v>
      </c>
      <c r="N53" s="5" t="s">
        <v>40</v>
      </c>
      <c r="O53" s="5" t="s">
        <v>28</v>
      </c>
      <c r="P53" s="5" t="str">
        <f>IFERROR(__xludf.DUMMYFUNCTION("AI(""Extract and delete ratings from Column P2:P101"")"),"4, 4, 5")</f>
        <v>4, 4, 5</v>
      </c>
      <c r="Q53" s="5" t="str">
        <f>IFERROR(__xludf.DUMMYFUNCTION("AI(""Extract onlu Reviews in column P2:P101"")"),"- Excellent quality\!
  - Highly impressed\!
  - Very satisfied\!")</f>
        <v>- Excellent quality\!
  - Highly impressed\!
  - Very satisfied\!</v>
      </c>
      <c r="R53" s="5" t="str">
        <f>IFERROR(__xludf.DUMMYFUNCTION("AI(""Retain only date and time in column Q2:Q101 remove any unimportant information"")"),"2025-04-30 09:41:02")</f>
        <v>2025-04-30 09:41:02</v>
      </c>
      <c r="S53" s="7" t="str">
        <f>IFERROR(__xludf.DUMMYFUNCTION("AI(""Extract only emails from Column P2:P101"")"),"nolan.bryant@x.dummyjson.com, luna.perez@x.dummyjson.com, noah.lewis@x.dummyjson.com")</f>
        <v>nolan.bryant@x.dummyjson.com, luna.perez@x.dummyjson.com, noah.lewis@x.dummyjson.com</v>
      </c>
      <c r="T53" s="7" t="str">
        <f>IFERROR(__xludf.DUMMYFUNCTION("AI(""Analyse the consumers' reviews in Column Q2:Q101 using 2words"")"),"Positive Feedback")</f>
        <v>Positive Feedback</v>
      </c>
      <c r="U53" s="5" t="s">
        <v>35</v>
      </c>
      <c r="V53" s="5">
        <v>9.0</v>
      </c>
    </row>
    <row r="54" ht="22.5" customHeight="1">
      <c r="A54" s="5" t="s">
        <v>152</v>
      </c>
      <c r="B54" s="6" t="str">
        <f>IFERROR(__xludf.DUMMYFUNCTION("AI(""Generate catchy and well detailed product descriptions in 8words for the products in Column A"")"),"Durable wooden surface for all your chopping needs")</f>
        <v>Durable wooden surface for all your chopping needs</v>
      </c>
      <c r="C54" s="6" t="str">
        <f>IFERROR(__xludf.DUMMYFUNCTION("AI(""Generate brief summary for the product descriptions in columnB using 3 keywords"")"),"Durable, wooden, chopping")</f>
        <v>Durable, wooden, chopping</v>
      </c>
      <c r="D54" s="7" t="str">
        <f>IFERROR(__xludf.DUMMYFUNCTION("AI(""translate product desptions in column B to Igbo"")"),"Mpaghara osisi siri ike maka mkpa igbutu gị niile.")</f>
        <v>Mpaghara osisi siri ike maka mkpa igbutu gị niile.</v>
      </c>
      <c r="E54" s="5" t="s">
        <v>143</v>
      </c>
      <c r="F54" s="5">
        <v>12.99</v>
      </c>
      <c r="G54" s="5">
        <v>8.03</v>
      </c>
      <c r="H54" s="5">
        <v>3.7</v>
      </c>
      <c r="I54" s="5">
        <v>14.0</v>
      </c>
      <c r="J54" s="5" t="s">
        <v>153</v>
      </c>
      <c r="L54" s="5">
        <v>2.0</v>
      </c>
      <c r="M54" s="5" t="s">
        <v>39</v>
      </c>
      <c r="N54" s="5" t="s">
        <v>34</v>
      </c>
      <c r="O54" s="5" t="s">
        <v>28</v>
      </c>
      <c r="P54" s="5" t="str">
        <f>IFERROR(__xludf.DUMMYFUNCTION("AI(""Extract and delete ratings from Column P2:P101"")"),"5, 4, 4")</f>
        <v>5, 4, 4</v>
      </c>
      <c r="Q54" s="5" t="str">
        <f>IFERROR(__xludf.DUMMYFUNCTION("AI(""Extract onlu Reviews in column P2:P101"")"),"- Great value for money\!
  - Great value for money\!
  - Fast shipping\!")</f>
        <v>- Great value for money\!
  - Great value for money\!
  - Fast shipping\!</v>
      </c>
      <c r="R54" s="5" t="str">
        <f>IFERROR(__xludf.DUMMYFUNCTION("AI(""Retain only date and time in column Q2:Q101 remove any unimportant information"")"),"2025-04-30 09:41:02")</f>
        <v>2025-04-30 09:41:02</v>
      </c>
      <c r="S54" s="7" t="str">
        <f>IFERROR(__xludf.DUMMYFUNCTION("AI(""Extract only emails from Column P2:P101"")"),"xavier.wright@x.dummyjson.com, henry.turner@x.dummyjson.com, evelyn.walker@x.dummyjson.com")</f>
        <v>xavier.wright@x.dummyjson.com, henry.turner@x.dummyjson.com, evelyn.walker@x.dummyjson.com</v>
      </c>
      <c r="T54" s="7" t="str">
        <f>IFERROR(__xludf.DUMMYFUNCTION("AI(""Analyse the consumers' reviews in Column Q2:Q101 using 2words"")"),"Very positive")</f>
        <v>Very positive</v>
      </c>
      <c r="U54" s="5" t="s">
        <v>29</v>
      </c>
      <c r="V54" s="5">
        <v>5.0</v>
      </c>
    </row>
    <row r="55" ht="22.5" customHeight="1">
      <c r="A55" s="5" t="s">
        <v>154</v>
      </c>
      <c r="B55" s="6" t="str">
        <f>IFERROR(__xludf.DUMMYFUNCTION("AI(""Generate catchy and well detailed product descriptions in 8words for the products in Column A"")"),"Bright yellow manual citrus squeezer for fresh juice.")</f>
        <v>Bright yellow manual citrus squeezer for fresh juice.</v>
      </c>
      <c r="C55" s="6" t="str">
        <f>IFERROR(__xludf.DUMMYFUNCTION("AI(""Generate brief summary for the product descriptions in columnB using 3 keywords"")"),"Bright, manual, juicer")</f>
        <v>Bright, manual, juicer</v>
      </c>
      <c r="D55" s="7" t="str">
        <f>IFERROR(__xludf.DUMMYFUNCTION("AI(""translate product desptions in column B to Igbo"")"),"Ngwaọrụ mkpachị mkpụrụ osisi manual na-acha odo odo maka mmiri mkpụrụ osisi ọhụrụ.")</f>
        <v>Ngwaọrụ mkpachị mkpụrụ osisi manual na-acha odo odo maka mmiri mkpụrụ osisi ọhụrụ.</v>
      </c>
      <c r="E55" s="5" t="s">
        <v>143</v>
      </c>
      <c r="F55" s="5">
        <v>8.99</v>
      </c>
      <c r="G55" s="5">
        <v>12.1</v>
      </c>
      <c r="H55" s="5">
        <v>4.63</v>
      </c>
      <c r="I55" s="5">
        <v>22.0</v>
      </c>
      <c r="J55" s="5" t="s">
        <v>155</v>
      </c>
      <c r="L55" s="5">
        <v>2.0</v>
      </c>
      <c r="M55" s="5" t="s">
        <v>81</v>
      </c>
      <c r="N55" s="5" t="s">
        <v>27</v>
      </c>
      <c r="O55" s="5" t="s">
        <v>28</v>
      </c>
      <c r="P55" s="5" t="str">
        <f>IFERROR(__xludf.DUMMYFUNCTION("AI(""Extract and delete ratings from Column P2:P101"")"),"4, 4, 5")</f>
        <v>4, 4, 5</v>
      </c>
      <c r="Q55" s="5" t="str">
        <f>IFERROR(__xludf.DUMMYFUNCTION("AI(""Extract onlu Reviews in column P2:P101"")"),"- Highly recommended\!
  - Great product\!
  - Highly impressed\!")</f>
        <v>- Highly recommended\!
  - Great product\!
  - Highly impressed\!</v>
      </c>
      <c r="R55" s="5" t="str">
        <f>IFERROR(__xludf.DUMMYFUNCTION("AI(""Retain only date and time in column Q2:Q101 remove any unimportant information"")"),"2025-04-30 09:41:02")</f>
        <v>2025-04-30 09:41:02</v>
      </c>
      <c r="S55" s="7" t="str">
        <f>IFERROR(__xludf.DUMMYFUNCTION("AI(""Extract only emails from Column P2:P101"")"),"lucas.ramirez@x.dummyjson.com, eleanor.collins@x.dummyjson.com, mila.hernandez@x.dummyjson.com")</f>
        <v>lucas.ramirez@x.dummyjson.com, eleanor.collins@x.dummyjson.com, mila.hernandez@x.dummyjson.com</v>
      </c>
      <c r="T55" s="7" t="str">
        <f>IFERROR(__xludf.DUMMYFUNCTION("AI(""Analyse the consumers' reviews in Column Q2:Q101 using 2words"")"),"Highly Positive")</f>
        <v>Highly Positive</v>
      </c>
      <c r="U55" s="5" t="s">
        <v>82</v>
      </c>
      <c r="V55" s="5">
        <v>38.0</v>
      </c>
    </row>
    <row r="56" ht="22.5" customHeight="1">
      <c r="A56" s="5" t="s">
        <v>156</v>
      </c>
      <c r="B56" s="6" t="str">
        <f>IFERROR(__xludf.DUMMYFUNCTION("AI(""Generate catchy and well detailed product descriptions in 8words for the products in Column A"")"),"Effortlessly slice eggs with precision using this tool.")</f>
        <v>Effortlessly slice eggs with precision using this tool.</v>
      </c>
      <c r="C56" s="6" t="str">
        <f>IFERROR(__xludf.DUMMYFUNCTION("AI(""Generate brief summary for the product descriptions in columnB using 3 keywords"")"),"Effortless, Precision, Slicing")</f>
        <v>Effortless, Precision, Slicing</v>
      </c>
      <c r="D56" s="7" t="str">
        <f>IFERROR(__xludf.DUMMYFUNCTION("AI(""translate product desptions in column B to Igbo"")"),"Jiri ngwa a gbutuo akwa n'ụzọ dị mfe ma nwee izi ezi.")</f>
        <v>Jiri ngwa a gbutuo akwa n'ụzọ dị mfe ma nwee izi ezi.</v>
      </c>
      <c r="E56" s="5" t="s">
        <v>143</v>
      </c>
      <c r="F56" s="5">
        <v>6.99</v>
      </c>
      <c r="G56" s="5">
        <v>14.76</v>
      </c>
      <c r="H56" s="5">
        <v>3.09</v>
      </c>
      <c r="I56" s="5">
        <v>40.0</v>
      </c>
      <c r="J56" s="5" t="s">
        <v>157</v>
      </c>
      <c r="L56" s="5">
        <v>2.0</v>
      </c>
      <c r="M56" s="5" t="s">
        <v>26</v>
      </c>
      <c r="N56" s="5" t="s">
        <v>62</v>
      </c>
      <c r="O56" s="5" t="s">
        <v>28</v>
      </c>
      <c r="P56" s="5" t="str">
        <f>IFERROR(__xludf.DUMMYFUNCTION("AI(""Extract and delete ratings from Column P2:P101"")"),"3, 4, 1")</f>
        <v>3, 4, 1</v>
      </c>
      <c r="Q56" s="5" t="str">
        <f>IFERROR(__xludf.DUMMYFUNCTION("AI(""Extract onlu Reviews in column P2:P101"")"),"- Very dissatisfied\!
  - Very happy with my purchase\!
  - Not worth the price\!")</f>
        <v>- Very dissatisfied\!
  - Very happy with my purchase\!
  - Not worth the price\!</v>
      </c>
      <c r="R56" s="5" t="str">
        <f>IFERROR(__xludf.DUMMYFUNCTION("AI(""Retain only date and time in column Q2:Q101 remove any unimportant information"")"),"2025-04-30 09:41:02")</f>
        <v>2025-04-30 09:41:02</v>
      </c>
      <c r="S56" s="7" t="str">
        <f>IFERROR(__xludf.DUMMYFUNCTION("AI(""Extract only emails from Column P2:P101"")"),"harper.garcia@x.dummyjson.com, lily.torres@x.dummyjson.com, tyler.davis@x.dummyjson.com")</f>
        <v>harper.garcia@x.dummyjson.com, lily.torres@x.dummyjson.com, tyler.davis@x.dummyjson.com</v>
      </c>
      <c r="T56" s="7" t="str">
        <f>IFERROR(__xludf.DUMMYFUNCTION("AI(""Analyse the consumers' reviews in Column Q2:Q101 using 2words"")"),"Mixed feedback")</f>
        <v>Mixed feedback</v>
      </c>
      <c r="U56" s="5" t="s">
        <v>29</v>
      </c>
      <c r="V56" s="5">
        <v>32.0</v>
      </c>
    </row>
    <row r="57" ht="22.5" customHeight="1">
      <c r="A57" s="5" t="s">
        <v>158</v>
      </c>
      <c r="B57" s="6" t="str">
        <f>IFERROR(__xludf.DUMMYFUNCTION("AI(""Generate catchy and well detailed product descriptions in 8words for the products in Column A"")"),"Powerful electric stove for efficient cooking and durability.")</f>
        <v>Powerful electric stove for efficient cooking and durability.</v>
      </c>
      <c r="C57" s="6" t="str">
        <f>IFERROR(__xludf.DUMMYFUNCTION("AI(""Generate brief summary for the product descriptions in columnB using 3 keywords"")"),"Powerful, efficient, durable")</f>
        <v>Powerful, efficient, durable</v>
      </c>
      <c r="D57" s="7" t="str">
        <f>IFERROR(__xludf.DUMMYFUNCTION("AI(""translate product desptions in column B to Igbo"")"),"Igwe eji esi nri nwere ike maka isi nri nke ọma na ịdịte aka.")</f>
        <v>Igwe eji esi nri nwere ike maka isi nri nke ọma na ịdịte aka.</v>
      </c>
      <c r="E57" s="5" t="s">
        <v>143</v>
      </c>
      <c r="F57" s="5">
        <v>49.99</v>
      </c>
      <c r="G57" s="5">
        <v>14.04</v>
      </c>
      <c r="H57" s="5">
        <v>4.11</v>
      </c>
      <c r="I57" s="5">
        <v>21.0</v>
      </c>
      <c r="J57" s="5" t="s">
        <v>159</v>
      </c>
      <c r="L57" s="5">
        <v>5.0</v>
      </c>
      <c r="M57" s="5" t="s">
        <v>81</v>
      </c>
      <c r="N57" s="5" t="s">
        <v>45</v>
      </c>
      <c r="O57" s="5" t="s">
        <v>28</v>
      </c>
      <c r="P57" s="5" t="str">
        <f>IFERROR(__xludf.DUMMYFUNCTION("AI(""Extract and delete ratings from Column P2:P101"")"),"1, 2, 4")</f>
        <v>1, 2, 4</v>
      </c>
      <c r="Q57" s="5" t="str">
        <f>IFERROR(__xludf.DUMMYFUNCTION("AI(""Extract onlu Reviews in column P2:P101"")"),"- Would not recommend\!
  - Very dissatisfied\!
  - Very pleased\!")</f>
        <v>- Would not recommend\!
  - Very dissatisfied\!
  - Very pleased\!</v>
      </c>
      <c r="R57" s="5" t="str">
        <f>IFERROR(__xludf.DUMMYFUNCTION("AI(""Retain only date and time in column Q2:Q101 remove any unimportant information"")"),"2025-04-30 09:41:02")</f>
        <v>2025-04-30 09:41:02</v>
      </c>
      <c r="S57" s="7" t="str">
        <f>IFERROR(__xludf.DUMMYFUNCTION("AI(""Extract only emails from Column P2:P101"")"),"ava.harris@x.dummyjson.com, liam.smith@x.dummyjson.com, christian.perez@x.dummyjson.com")</f>
        <v>ava.harris@x.dummyjson.com, liam.smith@x.dummyjson.com, christian.perez@x.dummyjson.com</v>
      </c>
      <c r="T57" s="7" t="str">
        <f>IFERROR(__xludf.DUMMYFUNCTION("AI(""Analyse the consumers' reviews in Column Q2:Q101 using 2words"")"),"Mixed Feedback")</f>
        <v>Mixed Feedback</v>
      </c>
      <c r="U57" s="5" t="s">
        <v>35</v>
      </c>
      <c r="V57" s="5">
        <v>8.0</v>
      </c>
    </row>
    <row r="58" ht="22.5" customHeight="1">
      <c r="A58" s="5" t="s">
        <v>160</v>
      </c>
      <c r="B58" s="6" t="str">
        <f>IFERROR(__xludf.DUMMYFUNCTION("AI(""Generate catchy and well detailed product descriptions in 8words for the products in Column A"")"),"Essential fine mesh strainer for perfectly smooth results.")</f>
        <v>Essential fine mesh strainer for perfectly smooth results.</v>
      </c>
      <c r="C58" s="6" t="str">
        <f>IFERROR(__xludf.DUMMYFUNCTION("AI(""Generate brief summary for the product descriptions in columnB using 3 keywords"")"),"Essential, Mesh, Smooth")</f>
        <v>Essential, Mesh, Smooth</v>
      </c>
      <c r="D58" s="7" t="str">
        <f>IFERROR(__xludf.DUMMYFUNCTION("AI(""translate product desptions in column B to Igbo"")"),"Ihe nzacha dị mkpa maka nsonaazụ dị ezigbo nro.")</f>
        <v>Ihe nzacha dị mkpa maka nsonaazụ dị ezigbo nro.</v>
      </c>
      <c r="E58" s="5" t="s">
        <v>143</v>
      </c>
      <c r="F58" s="5">
        <v>9.99</v>
      </c>
      <c r="G58" s="5">
        <v>3.5</v>
      </c>
      <c r="H58" s="5">
        <v>3.04</v>
      </c>
      <c r="I58" s="5">
        <v>85.0</v>
      </c>
      <c r="J58" s="5" t="s">
        <v>161</v>
      </c>
      <c r="L58" s="5">
        <v>9.0</v>
      </c>
      <c r="M58" s="5" t="s">
        <v>49</v>
      </c>
      <c r="N58" s="5" t="s">
        <v>50</v>
      </c>
      <c r="O58" s="5" t="s">
        <v>28</v>
      </c>
      <c r="P58" s="5" t="str">
        <f>IFERROR(__xludf.DUMMYFUNCTION("AI(""Extract and delete ratings from Column P2:P101"")"),"5, 4, 2")</f>
        <v>5, 4, 2</v>
      </c>
      <c r="Q58" s="5" t="str">
        <f>IFERROR(__xludf.DUMMYFUNCTION("AI(""Extract onlu Reviews in column P2:P101"")"),"- Very pleased\!
  - Highly impressed\!
  - Would not recommend\!")</f>
        <v>- Very pleased\!
  - Highly impressed\!
  - Would not recommend\!</v>
      </c>
      <c r="R58" s="5" t="str">
        <f>IFERROR(__xludf.DUMMYFUNCTION("AI(""Retain only date and time in column Q2:Q101 remove any unimportant information"")"),"2025-04-30 09:41:02")</f>
        <v>2025-04-30 09:41:02</v>
      </c>
      <c r="S58" s="7" t="str">
        <f>IFERROR(__xludf.DUMMYFUNCTION("AI(""Extract only emails from Column P2:P101"")"),"isabella.anderson@x.dummyjson.com, aaliyah.hanson@x.dummyjson.com, layla.sullivan@x.dummyjson.com")</f>
        <v>isabella.anderson@x.dummyjson.com, aaliyah.hanson@x.dummyjson.com, layla.sullivan@x.dummyjson.com</v>
      </c>
      <c r="T58" s="7" t="str">
        <f>IFERROR(__xludf.DUMMYFUNCTION("AI(""Analyse the consumers' reviews in Column Q2:Q101 using 2words"")"),"Mixed feedback")</f>
        <v>Mixed feedback</v>
      </c>
      <c r="U58" s="5" t="s">
        <v>35</v>
      </c>
      <c r="V58" s="5">
        <v>43.0</v>
      </c>
    </row>
    <row r="59" ht="22.5" customHeight="1">
      <c r="A59" s="5" t="s">
        <v>162</v>
      </c>
      <c r="B59" s="6" t="str">
        <f>IFERROR(__xludf.DUMMYFUNCTION("AI(""Generate catchy and well detailed product descriptions in 8words for the products in Column A"")"),"Durable stainless steel utensil for effortless everyday dining.")</f>
        <v>Durable stainless steel utensil for effortless everyday dining.</v>
      </c>
      <c r="C59" s="6" t="str">
        <f>IFERROR(__xludf.DUMMYFUNCTION("AI(""Generate brief summary for the product descriptions in columnB using 3 keywords"")"),"Durable, stainless, dining")</f>
        <v>Durable, stainless, dining</v>
      </c>
      <c r="D59" s="7" t="str">
        <f>IFERROR(__xludf.DUMMYFUNCTION("AI(""translate product desptions in column B to Igbo"")"),"Ngwa igwe anaghị agba nchara na-adịte aka maka nri abalị kwa ụbọchị n'enweghị mgbalị.")</f>
        <v>Ngwa igwe anaghị agba nchara na-adịte aka maka nri abalị kwa ụbọchị n'enweghị mgbalị.</v>
      </c>
      <c r="E59" s="5" t="s">
        <v>143</v>
      </c>
      <c r="F59" s="5">
        <v>3.99</v>
      </c>
      <c r="G59" s="5">
        <v>8.07</v>
      </c>
      <c r="H59" s="5">
        <v>3.11</v>
      </c>
      <c r="I59" s="5">
        <v>7.0</v>
      </c>
      <c r="J59" s="5" t="s">
        <v>144</v>
      </c>
      <c r="L59" s="5">
        <v>9.0</v>
      </c>
      <c r="M59" s="5" t="s">
        <v>101</v>
      </c>
      <c r="N59" s="5" t="s">
        <v>62</v>
      </c>
      <c r="O59" s="5" t="s">
        <v>28</v>
      </c>
      <c r="P59" s="5" t="str">
        <f>IFERROR(__xludf.DUMMYFUNCTION("AI(""Extract and delete ratings from Column P2:P101"")"),"5, 5, 2")</f>
        <v>5, 5, 2</v>
      </c>
      <c r="Q59" s="5" t="str">
        <f>IFERROR(__xludf.DUMMYFUNCTION("AI(""Extract onlu Reviews in column P2:P101"")"),"- Highly impressed\!
  - Very satisfied\!
  - Would not buy again\!")</f>
        <v>- Highly impressed\!
  - Very satisfied\!
  - Would not buy again\!</v>
      </c>
      <c r="R59" s="5" t="str">
        <f>IFERROR(__xludf.DUMMYFUNCTION("AI(""Retain only date and time in column Q2:Q101 remove any unimportant information"")"),"2025-04-30 09:41:02")</f>
        <v>2025-04-30 09:41:02</v>
      </c>
      <c r="S59" s="7" t="str">
        <f>IFERROR(__xludf.DUMMYFUNCTION("AI(""Extract only emails from Column P2:P101"")"),"elena.baker@x.dummyjson.com, avery.scott@x.dummyjson.com, mateo.perez@x.dummyjson.com")</f>
        <v>elena.baker@x.dummyjson.com, avery.scott@x.dummyjson.com, mateo.perez@x.dummyjson.com</v>
      </c>
      <c r="T59" s="7" t="str">
        <f>IFERROR(__xludf.DUMMYFUNCTION("AI(""Analyse the consumers' reviews in Column Q2:Q101 using 2words"")"),"Mixed feedback")</f>
        <v>Mixed feedback</v>
      </c>
      <c r="U59" s="5" t="s">
        <v>29</v>
      </c>
      <c r="V59" s="5">
        <v>36.0</v>
      </c>
    </row>
    <row r="60" ht="22.5" customHeight="1">
      <c r="A60" s="5" t="s">
        <v>163</v>
      </c>
      <c r="B60" s="6" t="str">
        <f>IFERROR(__xludf.DUMMYFUNCTION("AI(""Generate catchy and well detailed product descriptions in 8words for the products in Column A"")"),"Crystal clear glass perfect for every refreshing drink.")</f>
        <v>Crystal clear glass perfect for every refreshing drink.</v>
      </c>
      <c r="C60" s="6" t="str">
        <f>IFERROR(__xludf.DUMMYFUNCTION("AI(""Generate brief summary for the product descriptions in columnB using 3 keywords"")"),"Clear, crystal, refreshing")</f>
        <v>Clear, crystal, refreshing</v>
      </c>
      <c r="D60" s="7" t="str">
        <f>IFERROR(__xludf.DUMMYFUNCTION("AI(""translate product desptions in column B to Igbo"")"),"Iko doro anya nke ọma nke zuru oke maka ihe ọṅụṅụ ọ bụla na-enye ume ọhụrụ.")</f>
        <v>Iko doro anya nke ọma nke zuru oke maka ihe ọṅụṅụ ọ bụla na-enye ume ọhụrụ.</v>
      </c>
      <c r="E60" s="5" t="s">
        <v>143</v>
      </c>
      <c r="F60" s="5">
        <v>4.99</v>
      </c>
      <c r="G60" s="5">
        <v>7.92</v>
      </c>
      <c r="H60" s="5">
        <v>4.02</v>
      </c>
      <c r="I60" s="5">
        <v>46.0</v>
      </c>
      <c r="J60" s="5" t="s">
        <v>164</v>
      </c>
      <c r="L60" s="5">
        <v>10.0</v>
      </c>
      <c r="M60" s="5" t="s">
        <v>44</v>
      </c>
      <c r="N60" s="5" t="s">
        <v>50</v>
      </c>
      <c r="O60" s="5" t="s">
        <v>28</v>
      </c>
      <c r="P60" s="5" t="str">
        <f>IFERROR(__xludf.DUMMYFUNCTION("AI(""Extract and delete ratings from Column P2:P101"")"),"5, 3, 5")</f>
        <v>5, 3, 5</v>
      </c>
      <c r="Q60" s="5" t="str">
        <f>IFERROR(__xludf.DUMMYFUNCTION("AI(""Extract onlu Reviews in column P2:P101"")"),"- Very happy with my purchase\!
  - Waste of money\!
  - Very satisfied\!")</f>
        <v>- Very happy with my purchase\!
  - Waste of money\!
  - Very satisfied\!</v>
      </c>
      <c r="R60" s="5" t="str">
        <f>IFERROR(__xludf.DUMMYFUNCTION("AI(""Retain only date and time in column Q2:Q101 remove any unimportant information"")"),"2025-04-30 09:41:02")</f>
        <v>2025-04-30 09:41:02</v>
      </c>
      <c r="S60" s="7" t="str">
        <f>IFERROR(__xludf.DUMMYFUNCTION("AI(""Extract only emails from Column P2:P101"")"),"jackson.evans@x.dummyjson.com, nicholas.bailey@x.dummyjson.com, nathan.reed@x.dummyjson.com")</f>
        <v>jackson.evans@x.dummyjson.com, nicholas.bailey@x.dummyjson.com, nathan.reed@x.dummyjson.com</v>
      </c>
      <c r="T60" s="7" t="str">
        <f>IFERROR(__xludf.DUMMYFUNCTION("AI(""Analyse the consumers' reviews in Column Q2:Q101 using 2words"")"),"Mixed Feedback")</f>
        <v>Mixed Feedback</v>
      </c>
      <c r="U60" s="5" t="s">
        <v>35</v>
      </c>
      <c r="V60" s="5">
        <v>17.0</v>
      </c>
    </row>
    <row r="61" ht="22.5" customHeight="1">
      <c r="A61" s="5" t="s">
        <v>165</v>
      </c>
      <c r="B61" s="6" t="str">
        <f>IFERROR(__xludf.DUMMYFUNCTION("AI(""Generate catchy and well detailed product descriptions in 8words for the products in Column A"")"),"Sleek black grater for effortless zesting and shredding.")</f>
        <v>Sleek black grater for effortless zesting and shredding.</v>
      </c>
      <c r="C61" s="6" t="str">
        <f>IFERROR(__xludf.DUMMYFUNCTION("AI(""Generate brief summary for the product descriptions in columnB using 3 keywords"")"),"Black, zesting, shredding")</f>
        <v>Black, zesting, shredding</v>
      </c>
      <c r="D61" s="7" t="str">
        <f>IFERROR(__xludf.DUMMYFUNCTION("AI(""translate product desptions in column B to Igbo"")"),"Grater ojii na-egbu maramara maka ịchafụ na ịkpụ ihe n'ụzọ dị mfe.")</f>
        <v>Grater ojii na-egbu maramara maka ịchafụ na ịkpụ ihe n'ụzọ dị mfe.</v>
      </c>
      <c r="E61" s="5" t="s">
        <v>143</v>
      </c>
      <c r="F61" s="5">
        <v>10.99</v>
      </c>
      <c r="G61" s="5">
        <v>3.56</v>
      </c>
      <c r="H61" s="5">
        <v>3.21</v>
      </c>
      <c r="I61" s="5">
        <v>84.0</v>
      </c>
      <c r="J61" s="5" t="s">
        <v>166</v>
      </c>
      <c r="L61" s="5">
        <v>3.0</v>
      </c>
      <c r="M61" s="5" t="s">
        <v>49</v>
      </c>
      <c r="N61" s="5" t="s">
        <v>45</v>
      </c>
      <c r="O61" s="5" t="s">
        <v>28</v>
      </c>
      <c r="P61" s="5" t="str">
        <f>IFERROR(__xludf.DUMMYFUNCTION("AI(""Extract and delete ratings from Column P2:P101"")"),"1, 1, 5")</f>
        <v>1, 1, 5</v>
      </c>
      <c r="Q61" s="5" t="str">
        <f>IFERROR(__xludf.DUMMYFUNCTION("AI(""Extract onlu Reviews in column P2:P101"")"),"- Would not buy again\!
  - Not as described\!
  - Highly impressed\!")</f>
        <v>- Would not buy again\!
  - Not as described\!
  - Highly impressed\!</v>
      </c>
      <c r="R61" s="5" t="str">
        <f>IFERROR(__xludf.DUMMYFUNCTION("AI(""Retain only date and time in column Q2:Q101 remove any unimportant information"")"),"2025-04-30 09:41:02")</f>
        <v>2025-04-30 09:41:02</v>
      </c>
      <c r="S61" s="7" t="str">
        <f>IFERROR(__xludf.DUMMYFUNCTION("AI(""Extract only emails from Column P2:P101"")"),"ella.adams@x.dummyjson.com, eli.ward@x.dummyjson.com, james.garcia@x.dummyjson.com")</f>
        <v>ella.adams@x.dummyjson.com, eli.ward@x.dummyjson.com, james.garcia@x.dummyjson.com</v>
      </c>
      <c r="T61" s="7" t="str">
        <f>IFERROR(__xludf.DUMMYFUNCTION("AI(""Analyse the consumers' reviews in Column Q2:Q101 using 2words"")"),"Mixed feedback")</f>
        <v>Mixed feedback</v>
      </c>
      <c r="U61" s="5" t="s">
        <v>82</v>
      </c>
      <c r="V61" s="5">
        <v>5.0</v>
      </c>
    </row>
    <row r="62" ht="22.5" customHeight="1">
      <c r="A62" s="5" t="s">
        <v>167</v>
      </c>
      <c r="B62" s="6" t="str">
        <f>IFERROR(__xludf.DUMMYFUNCTION("AI(""Generate catchy and well detailed product descriptions in 8words for the products in Column A"")"),"Versatile hand blender for effortless mixing and pureeing.")</f>
        <v>Versatile hand blender for effortless mixing and pureeing.</v>
      </c>
      <c r="C62" s="6" t="str">
        <f>IFERROR(__xludf.DUMMYFUNCTION("AI(""Generate brief summary for the product descriptions in columnB using 3 keywords"")"),"Versatile, mixing, pureeing")</f>
        <v>Versatile, mixing, pureeing</v>
      </c>
      <c r="D62" s="7" t="str">
        <f>IFERROR(__xludf.DUMMYFUNCTION("AI(""translate product desptions in column B to Igbo"")"),"Blender aka nwere ọtụtụ ọrụ maka ịgwakọta na igweri nri n'ụzọ dị mfe.")</f>
        <v>Blender aka nwere ọtụtụ ọrụ maka ịgwakọta na igweri nri n'ụzọ dị mfe.</v>
      </c>
      <c r="E62" s="5" t="s">
        <v>143</v>
      </c>
      <c r="F62" s="5">
        <v>34.99</v>
      </c>
      <c r="G62" s="5">
        <v>17.02</v>
      </c>
      <c r="H62" s="5">
        <v>3.86</v>
      </c>
      <c r="I62" s="5">
        <v>84.0</v>
      </c>
      <c r="J62" s="5" t="s">
        <v>149</v>
      </c>
      <c r="L62" s="5">
        <v>5.0</v>
      </c>
      <c r="M62" s="5" t="s">
        <v>33</v>
      </c>
      <c r="N62" s="5" t="s">
        <v>45</v>
      </c>
      <c r="O62" s="5" t="s">
        <v>28</v>
      </c>
      <c r="P62" s="5" t="str">
        <f>IFERROR(__xludf.DUMMYFUNCTION("AI(""Extract and delete ratings from Column P2:P101"")"),"5, 4, 1")</f>
        <v>5, 4, 1</v>
      </c>
      <c r="Q62" s="5" t="str">
        <f>IFERROR(__xludf.DUMMYFUNCTION("AI(""Extract onlu Reviews in column P2:P101"")"),"- Excellent quality\!
  - Highly impressed\!
  - Would not buy again\!")</f>
        <v>- Excellent quality\!
  - Highly impressed\!
  - Would not buy again\!</v>
      </c>
      <c r="R62" s="5" t="str">
        <f>IFERROR(__xludf.DUMMYFUNCTION("AI(""Retain only date and time in column Q2:Q101 remove any unimportant information"")"),"2025-04-30 09:41:02")</f>
        <v>2025-04-30 09:41:02</v>
      </c>
      <c r="S62" s="7" t="str">
        <f>IFERROR(__xludf.DUMMYFUNCTION("AI(""Extract only emails from Column P2:P101"")"),"hazel.evans@x.dummyjson.com, hannah.howard@x.dummyjson.com, jonathan.pierce@x.dummyjson.com")</f>
        <v>hazel.evans@x.dummyjson.com, hannah.howard@x.dummyjson.com, jonathan.pierce@x.dummyjson.com</v>
      </c>
      <c r="T62" s="7" t="str">
        <f>IFERROR(__xludf.DUMMYFUNCTION("AI(""Analyse the consumers' reviews in Column Q2:Q101 using 2words"")"),"Mixed feedback")</f>
        <v>Mixed feedback</v>
      </c>
      <c r="U62" s="5" t="s">
        <v>29</v>
      </c>
      <c r="V62" s="5">
        <v>11.0</v>
      </c>
    </row>
    <row r="63" ht="22.5" customHeight="1">
      <c r="A63" s="5" t="s">
        <v>168</v>
      </c>
      <c r="B63" s="6" t="str">
        <f>IFERROR(__xludf.DUMMYFUNCTION("AI(""Generate catchy and well detailed product descriptions in 8words for the products in Column A"")"),"Flexible silicone design for perfectly chilled ice cubes.")</f>
        <v>Flexible silicone design for perfectly chilled ice cubes.</v>
      </c>
      <c r="C63" s="6" t="str">
        <f>IFERROR(__xludf.DUMMYFUNCTION("AI(""Generate brief summary for the product descriptions in columnB using 3 keywords"")"),"Flexible, silicone, chilled")</f>
        <v>Flexible, silicone, chilled</v>
      </c>
      <c r="D63" s="7" t="str">
        <f>IFERROR(__xludf.DUMMYFUNCTION("AI(""translate product desptions in column B to Igbo"")"),"Atụmatụ silicone na-agbanwe agbanwe maka akpụrụ mmiri jụrụ oyi nke ọma.")</f>
        <v>Atụmatụ silicone na-agbanwe agbanwe maka akpụrụ mmiri jụrụ oyi nke ọma.</v>
      </c>
      <c r="E63" s="5" t="s">
        <v>143</v>
      </c>
      <c r="F63" s="5">
        <v>5.99</v>
      </c>
      <c r="G63" s="5">
        <v>0.63</v>
      </c>
      <c r="H63" s="5">
        <v>4.71</v>
      </c>
      <c r="I63" s="5">
        <v>13.0</v>
      </c>
      <c r="J63" s="5" t="s">
        <v>169</v>
      </c>
      <c r="L63" s="5">
        <v>3.0</v>
      </c>
      <c r="M63" s="5" t="s">
        <v>49</v>
      </c>
      <c r="N63" s="5" t="s">
        <v>50</v>
      </c>
      <c r="O63" s="5" t="s">
        <v>28</v>
      </c>
      <c r="P63" s="5" t="str">
        <f>IFERROR(__xludf.DUMMYFUNCTION("AI(""Extract and delete ratings from Column P2:P101"")"),"5, 5, 5")</f>
        <v>5, 5, 5</v>
      </c>
      <c r="Q63" s="5" t="str">
        <f>IFERROR(__xludf.DUMMYFUNCTION("AI(""Extract onlu Reviews in column P2:P101"")"),"- Awesome product\!
  - Would buy again\!
  - Very pleased\!")</f>
        <v>- Awesome product\!
  - Would buy again\!
  - Very pleased\!</v>
      </c>
      <c r="R63" s="5" t="str">
        <f>IFERROR(__xludf.DUMMYFUNCTION("AI(""Retain only date and time in column Q2:Q101 remove any unimportant information"")"),"2025-04-30 09:41:02")</f>
        <v>2025-04-30 09:41:02</v>
      </c>
      <c r="S63" s="7" t="str">
        <f>IFERROR(__xludf.DUMMYFUNCTION("AI(""Extract only emails from Column P2:P101"")"),"isaac.lawrence@x.dummyjson.com, leo.rivera@x.dummyjson.com, henry.turner@x.dummyjson.com")</f>
        <v>isaac.lawrence@x.dummyjson.com, leo.rivera@x.dummyjson.com, henry.turner@x.dummyjson.com</v>
      </c>
      <c r="T63" s="7" t="str">
        <f>IFERROR(__xludf.DUMMYFUNCTION("AI(""Analyse the consumers' reviews in Column Q2:Q101 using 2words"")"),"Highly Positive")</f>
        <v>Highly Positive</v>
      </c>
      <c r="U63" s="5" t="s">
        <v>29</v>
      </c>
      <c r="V63" s="5">
        <v>16.0</v>
      </c>
    </row>
    <row r="64" ht="22.5" customHeight="1">
      <c r="A64" s="5" t="s">
        <v>170</v>
      </c>
      <c r="B64" s="6" t="str">
        <f>IFERROR(__xludf.DUMMYFUNCTION("AI(""Generate catchy and well detailed product descriptions in 8words for the products in Column A"")"),"Durable stainless steel mesh for effortless kitchen straining.")</f>
        <v>Durable stainless steel mesh for effortless kitchen straining.</v>
      </c>
      <c r="C64" s="6" t="str">
        <f>IFERROR(__xludf.DUMMYFUNCTION("AI(""Generate brief summary for the product descriptions in columnB using 3 keywords"")"),"Durable, stainless, straining")</f>
        <v>Durable, stainless, straining</v>
      </c>
      <c r="D64" s="7" t="str">
        <f>IFERROR(__xludf.DUMMYFUNCTION("AI(""translate product desptions in column B to Igbo"")"),"Ihe ngebichi igwe anaghị agba nchara na-adịte aka maka nzacha kichin dị mfe.")</f>
        <v>Ihe ngebichi igwe anaghị agba nchara na-adịte aka maka nzacha kichin dị mfe.</v>
      </c>
      <c r="E64" s="5" t="s">
        <v>143</v>
      </c>
      <c r="F64" s="5">
        <v>7.99</v>
      </c>
      <c r="G64" s="5">
        <v>18.91</v>
      </c>
      <c r="H64" s="5">
        <v>3.09</v>
      </c>
      <c r="I64" s="5">
        <v>68.0</v>
      </c>
      <c r="J64" s="5" t="s">
        <v>161</v>
      </c>
      <c r="L64" s="5">
        <v>5.0</v>
      </c>
      <c r="M64" s="5" t="s">
        <v>49</v>
      </c>
      <c r="N64" s="5" t="s">
        <v>50</v>
      </c>
      <c r="O64" s="5" t="s">
        <v>28</v>
      </c>
      <c r="P64" s="5" t="str">
        <f>IFERROR(__xludf.DUMMYFUNCTION("AI(""Extract and delete ratings from Column P2:P101"")"),"5, 5, 4")</f>
        <v>5, 5, 4</v>
      </c>
      <c r="Q64" s="5" t="str">
        <f>IFERROR(__xludf.DUMMYFUNCTION("AI(""Extract onlu Reviews in column P2:P101"")"),"- Highly recommended\!
  - Very happy with my purchase\!
  - Awesome product\!")</f>
        <v>- Highly recommended\!
  - Very happy with my purchase\!
  - Awesome product\!</v>
      </c>
      <c r="R64" s="5" t="str">
        <f>IFERROR(__xludf.DUMMYFUNCTION("AI(""Retain only date and time in column Q2:Q101 remove any unimportant information"")"),"2025-04-30 09:41:02")</f>
        <v>2025-04-30 09:41:02</v>
      </c>
      <c r="S64" s="7" t="str">
        <f>IFERROR(__xludf.DUMMYFUNCTION("AI(""Extract only emails from Column P2:P101"")"),"stella.morris@x.dummyjson.com, henry.adams@x.dummyjson.com, lillian.simmons@x.dummyjson.com")</f>
        <v>stella.morris@x.dummyjson.com, henry.adams@x.dummyjson.com, lillian.simmons@x.dummyjson.com</v>
      </c>
      <c r="T64" s="7" t="str">
        <f>IFERROR(__xludf.DUMMYFUNCTION("AI(""Analyse the consumers' reviews in Column Q2:Q101 using 2words"")"),"Positive Feedback")</f>
        <v>Positive Feedback</v>
      </c>
      <c r="U64" s="5" t="s">
        <v>29</v>
      </c>
      <c r="V64" s="5">
        <v>5.0</v>
      </c>
    </row>
    <row r="65" ht="22.5" customHeight="1">
      <c r="A65" s="5" t="s">
        <v>171</v>
      </c>
      <c r="B65" s="6" t="str">
        <f>IFERROR(__xludf.DUMMYFUNCTION("AI(""Generate catchy and well detailed product descriptions in 8words for the products in Column A"")"),"Precision crafted blades for effortless and expert cutting.")</f>
        <v>Precision crafted blades for effortless and expert cutting.</v>
      </c>
      <c r="C65" s="6" t="str">
        <f>IFERROR(__xludf.DUMMYFUNCTION("AI(""Generate brief summary for the product descriptions in columnB using 3 keywords"")"),"Precision, crafted, effortless")</f>
        <v>Precision, crafted, effortless</v>
      </c>
      <c r="D65" s="7" t="str">
        <f>IFERROR(__xludf.DUMMYFUNCTION("AI(""translate product desptions in column B to Igbo"")"),"Agụba ndị e ji nka rụpụta maka ịkpụ ihe n'ụzọ dị mfe ma nwee nkà.")</f>
        <v>Agụba ndị e ji nka rụpụta maka ịkpụ ihe n'ụzọ dị mfe ma nwee nkà.</v>
      </c>
      <c r="E65" s="5" t="s">
        <v>143</v>
      </c>
      <c r="F65" s="5">
        <v>14.99</v>
      </c>
      <c r="G65" s="5">
        <v>18.86</v>
      </c>
      <c r="H65" s="5">
        <v>3.26</v>
      </c>
      <c r="I65" s="5">
        <v>7.0</v>
      </c>
      <c r="J65" s="5" t="s">
        <v>172</v>
      </c>
      <c r="L65" s="5">
        <v>3.0</v>
      </c>
      <c r="M65" s="5" t="s">
        <v>49</v>
      </c>
      <c r="N65" s="5" t="s">
        <v>45</v>
      </c>
      <c r="O65" s="5" t="s">
        <v>63</v>
      </c>
      <c r="P65" s="5" t="str">
        <f>IFERROR(__xludf.DUMMYFUNCTION("AI(""Extract and delete ratings from Column P2:P101"")"),"2, 5, 5")</f>
        <v>2, 5, 5</v>
      </c>
      <c r="Q65" s="5" t="str">
        <f>IFERROR(__xludf.DUMMYFUNCTION("AI(""Extract onlu Reviews in column P2:P101"")"),"- Very disappointed\!
  - Fast shipping\!
  - Very pleased\!")</f>
        <v>- Very disappointed\!
  - Fast shipping\!
  - Very pleased\!</v>
      </c>
      <c r="R65" s="5" t="str">
        <f>IFERROR(__xludf.DUMMYFUNCTION("AI(""Retain only date and time in column Q2:Q101 remove any unimportant information"")"),"2025-04-30 09:41:02")</f>
        <v>2025-04-30 09:41:02</v>
      </c>
      <c r="S65" s="7" t="str">
        <f>IFERROR(__xludf.DUMMYFUNCTION("AI(""Extract only emails from Column P2:P101"")"),"aaliyah.martinez@x.dummyjson.com, addison.wright@x.dummyjson.com, mateo.nguyen@x.dummyjson.com")</f>
        <v>aaliyah.martinez@x.dummyjson.com, addison.wright@x.dummyjson.com, mateo.nguyen@x.dummyjson.com</v>
      </c>
      <c r="T65" s="7" t="str">
        <f>IFERROR(__xludf.DUMMYFUNCTION("AI(""Analyse the consumers' reviews in Column Q2:Q101 using 2words"")"),"Mixed feedback")</f>
        <v>Mixed feedback</v>
      </c>
      <c r="U65" s="5" t="s">
        <v>35</v>
      </c>
      <c r="V65" s="5">
        <v>50.0</v>
      </c>
    </row>
    <row r="66" ht="22.5" customHeight="1">
      <c r="A66" s="5" t="s">
        <v>173</v>
      </c>
      <c r="B66" s="6" t="str">
        <f>IFERROR(__xludf.DUMMYFUNCTION("AI(""Generate catchy and well detailed product descriptions in 8words for the products in Column A"")"),"Compact, durable lunch box keeps meals fresh daily.")</f>
        <v>Compact, durable lunch box keeps meals fresh daily.</v>
      </c>
      <c r="C66" s="6" t="str">
        <f>IFERROR(__xludf.DUMMYFUNCTION("AI(""Generate brief summary for the product descriptions in columnB using 3 keywords"")"),"Compact, durable, fresh")</f>
        <v>Compact, durable, fresh</v>
      </c>
      <c r="D66" s="7" t="str">
        <f>IFERROR(__xludf.DUMMYFUNCTION("AI(""translate product desptions in column B to Igbo"")"),"Igbe nri kọmpat, nke na-adịte aka na-edebe nri ọhụrụ kwa ụbọchị.")</f>
        <v>Igbe nri kọmpat, nke na-adịte aka na-edebe nri ọhụrụ kwa ụbọchị.</v>
      </c>
      <c r="E66" s="5" t="s">
        <v>143</v>
      </c>
      <c r="F66" s="5">
        <v>12.99</v>
      </c>
      <c r="G66" s="5">
        <v>10.34</v>
      </c>
      <c r="H66" s="5">
        <v>4.93</v>
      </c>
      <c r="I66" s="5">
        <v>94.0</v>
      </c>
      <c r="J66" s="5" t="s">
        <v>174</v>
      </c>
      <c r="L66" s="5">
        <v>9.0</v>
      </c>
      <c r="M66" s="5" t="s">
        <v>77</v>
      </c>
      <c r="N66" s="5" t="s">
        <v>40</v>
      </c>
      <c r="O66" s="5" t="s">
        <v>28</v>
      </c>
      <c r="P66" s="5" t="str">
        <f>IFERROR(__xludf.DUMMYFUNCTION("AI(""Extract and delete ratings from Column P2:P101"")"),"5, 5, 2")</f>
        <v>5, 5, 2</v>
      </c>
      <c r="Q66" s="5" t="str">
        <f>IFERROR(__xludf.DUMMYFUNCTION("AI(""Extract onlu Reviews in column P2:P101"")"),"- Very pleased\!
  - Very happy with my purchase\!
  - Poor quality\!")</f>
        <v>- Very pleased\!
  - Very happy with my purchase\!
  - Poor quality\!</v>
      </c>
      <c r="R66" s="5" t="str">
        <f>IFERROR(__xludf.DUMMYFUNCTION("AI(""Retain only date and time in column Q2:Q101 remove any unimportant information"")"),"2025-04-30 09:41:02")</f>
        <v>2025-04-30 09:41:02</v>
      </c>
      <c r="S66" s="7" t="str">
        <f>IFERROR(__xludf.DUMMYFUNCTION("AI(""Extract only emails from Column P2:P101"")"),"jace.smith@x.dummyjson.com, zoe.bennett@x.dummyjson.com, michael.johnson@x.dummyjson.com")</f>
        <v>jace.smith@x.dummyjson.com, zoe.bennett@x.dummyjson.com, michael.johnson@x.dummyjson.com</v>
      </c>
      <c r="T66" s="7" t="str">
        <f>IFERROR(__xludf.DUMMYFUNCTION("AI(""Analyse the consumers' reviews in Column Q2:Q101 using 2words"")"),"Mixed feedback")</f>
        <v>Mixed feedback</v>
      </c>
      <c r="U66" s="5" t="s">
        <v>96</v>
      </c>
      <c r="V66" s="5">
        <v>39.0</v>
      </c>
    </row>
    <row r="67" ht="22.5" customHeight="1">
      <c r="A67" s="5" t="s">
        <v>175</v>
      </c>
      <c r="B67" s="6" t="str">
        <f>IFERROR(__xludf.DUMMYFUNCTION("AI(""Generate catchy and well detailed product descriptions in 8words for the products in Column A"")"),"Powerful microwave for quick heating and effortless cooking.")</f>
        <v>Powerful microwave for quick heating and effortless cooking.</v>
      </c>
      <c r="C67" s="6" t="str">
        <f>IFERROR(__xludf.DUMMYFUNCTION("AI(""Generate brief summary for the product descriptions in columnB using 3 keywords"")"),"Powerful, Heating, Cooking")</f>
        <v>Powerful, Heating, Cooking</v>
      </c>
      <c r="D67" s="7" t="str">
        <f>IFERROR(__xludf.DUMMYFUNCTION("AI(""translate product desptions in column B to Igbo"")"),"Igwe microwave dị ike maka ikpo ọkụ ngwa ngwa na isi nri n'ụzọ dị mfe.")</f>
        <v>Igwe microwave dị ike maka ikpo ọkụ ngwa ngwa na isi nri n'ụzọ dị mfe.</v>
      </c>
      <c r="E67" s="5" t="s">
        <v>143</v>
      </c>
      <c r="F67" s="5">
        <v>89.99</v>
      </c>
      <c r="G67" s="5">
        <v>12.13</v>
      </c>
      <c r="H67" s="5">
        <v>4.82</v>
      </c>
      <c r="I67" s="5">
        <v>59.0</v>
      </c>
      <c r="J67" s="5" t="s">
        <v>176</v>
      </c>
      <c r="L67" s="5">
        <v>9.0</v>
      </c>
      <c r="M67" s="5" t="s">
        <v>33</v>
      </c>
      <c r="N67" s="5" t="s">
        <v>45</v>
      </c>
      <c r="O67" s="5" t="s">
        <v>28</v>
      </c>
      <c r="P67" s="5" t="str">
        <f>IFERROR(__xludf.DUMMYFUNCTION("AI(""Extract and delete ratings from Column P2:P101"")"),"3, 4, 2")</f>
        <v>3, 4, 2</v>
      </c>
      <c r="Q67" s="5" t="str">
        <f>IFERROR(__xludf.DUMMYFUNCTION("AI(""Extract onlu Reviews in column P2:P101"")"),"- Very dissatisfied\!
  - Fast shipping\!
  - Very disappointed\!")</f>
        <v>- Very dissatisfied\!
  - Fast shipping\!
  - Very disappointed\!</v>
      </c>
      <c r="R67" s="5" t="str">
        <f>IFERROR(__xludf.DUMMYFUNCTION("AI(""Retain only date and time in column Q2:Q101 remove any unimportant information"")"),"2025-04-30 09:41:02")</f>
        <v>2025-04-30 09:41:02</v>
      </c>
      <c r="S67" s="7" t="str">
        <f>IFERROR(__xludf.DUMMYFUNCTION("AI(""Extract only emails from Column P2:P101"")"),"nora.russell@x.dummyjson.com, alice.smith@x.dummyjson.com, ethan.fletcher@x.dummyjson.com")</f>
        <v>nora.russell@x.dummyjson.com, alice.smith@x.dummyjson.com, ethan.fletcher@x.dummyjson.com</v>
      </c>
      <c r="T67" s="7" t="str">
        <f>IFERROR(__xludf.DUMMYFUNCTION("AI(""Analyse the consumers' reviews in Column Q2:Q101 using 2words"")"),"Negative feedback")</f>
        <v>Negative feedback</v>
      </c>
      <c r="U67" s="5" t="s">
        <v>35</v>
      </c>
      <c r="V67" s="5">
        <v>4.0</v>
      </c>
    </row>
    <row r="68" ht="22.5" customHeight="1">
      <c r="A68" s="5" t="s">
        <v>177</v>
      </c>
      <c r="B68" s="6" t="str">
        <f>IFERROR(__xludf.DUMMYFUNCTION("AI(""Generate catchy and well detailed product descriptions in 8words for the products in Column A"")"),"Organize your mugs with this stylish, sturdy stand.")</f>
        <v>Organize your mugs with this stylish, sturdy stand.</v>
      </c>
      <c r="C68" s="6" t="str">
        <f>IFERROR(__xludf.DUMMYFUNCTION("AI(""Generate brief summary for the product descriptions in columnB using 3 keywords"")"),"Organized, stylish, sturdy")</f>
        <v>Organized, stylish, sturdy</v>
      </c>
      <c r="D68" s="7" t="str">
        <f>IFERROR(__xludf.DUMMYFUNCTION("AI(""translate product desptions in column B to Igbo"")"),"Hazie mug gị na nkwụnye a mara mma, nke siri ike.")</f>
        <v>Hazie mug gị na nkwụnye a mara mma, nke siri ike.</v>
      </c>
      <c r="E68" s="5" t="s">
        <v>143</v>
      </c>
      <c r="F68" s="5">
        <v>15.99</v>
      </c>
      <c r="G68" s="5">
        <v>9.25</v>
      </c>
      <c r="H68" s="5">
        <v>2.64</v>
      </c>
      <c r="I68" s="5">
        <v>88.0</v>
      </c>
      <c r="J68" s="5" t="s">
        <v>178</v>
      </c>
      <c r="L68" s="5">
        <v>3.0</v>
      </c>
      <c r="M68" s="5" t="s">
        <v>33</v>
      </c>
      <c r="N68" s="5" t="s">
        <v>62</v>
      </c>
      <c r="O68" s="5" t="s">
        <v>28</v>
      </c>
      <c r="P68" s="5" t="str">
        <f>IFERROR(__xludf.DUMMYFUNCTION("AI(""Extract and delete ratings from Column P2:P101"")"),"1, 5, 4")</f>
        <v>1, 5, 4</v>
      </c>
      <c r="Q68" s="5" t="str">
        <f>IFERROR(__xludf.DUMMYFUNCTION("AI(""Extract onlu Reviews in column P2:P101"")"),"- Very unhappy with my purchase\!
  - Highly recommended\!
  - Fast shipping\!")</f>
        <v>- Very unhappy with my purchase\!
  - Highly recommended\!
  - Fast shipping\!</v>
      </c>
      <c r="R68" s="5" t="str">
        <f>IFERROR(__xludf.DUMMYFUNCTION("AI(""Retain only date and time in column Q2:Q101 remove any unimportant information"")"),"2025-04-30 09:41:02")</f>
        <v>2025-04-30 09:41:02</v>
      </c>
      <c r="S68" s="7" t="str">
        <f>IFERROR(__xludf.DUMMYFUNCTION("AI(""Extract only emails from Column P2:P101"")"),"bella.grant@x.dummyjson.com, paisley.bell@x.dummyjson.com, david.martinez@x.dummyjson.com")</f>
        <v>bella.grant@x.dummyjson.com, paisley.bell@x.dummyjson.com, david.martinez@x.dummyjson.com</v>
      </c>
      <c r="T68" s="7" t="str">
        <f>IFERROR(__xludf.DUMMYFUNCTION("AI(""Analyse the consumers' reviews in Column Q2:Q101 using 2words"")"),"Mixed feedback")</f>
        <v>Mixed feedback</v>
      </c>
      <c r="U68" s="5" t="s">
        <v>96</v>
      </c>
      <c r="V68" s="5">
        <v>45.0</v>
      </c>
    </row>
    <row r="69" ht="22.5" customHeight="1">
      <c r="A69" s="5" t="s">
        <v>179</v>
      </c>
      <c r="B69" s="6" t="str">
        <f>IFERROR(__xludf.DUMMYFUNCTION("AI(""Generate catchy and well detailed product descriptions in 8words for the products in Column A"")"),"Durable non-stick pan for professional results every time.")</f>
        <v>Durable non-stick pan for professional results every time.</v>
      </c>
      <c r="C69" s="6" t="str">
        <f>IFERROR(__xludf.DUMMYFUNCTION("AI(""Generate brief summary for the product descriptions in columnB using 3 keywords"")"),"Durable, non-stick, professional")</f>
        <v>Durable, non-stick, professional</v>
      </c>
      <c r="D69" s="7" t="str">
        <f>IFERROR(__xludf.DUMMYFUNCTION("AI(""translate product desptions in column B to Igbo"")"),"Pan na-adịte aka anaghị amado nri maka nsonaazụ ọkachamara oge niile.")</f>
        <v>Pan na-adịte aka anaghị amado nri maka nsonaazụ ọkachamara oge niile.</v>
      </c>
      <c r="E69" s="5" t="s">
        <v>143</v>
      </c>
      <c r="F69" s="5">
        <v>24.99</v>
      </c>
      <c r="G69" s="5">
        <v>3.0</v>
      </c>
      <c r="H69" s="5">
        <v>2.79</v>
      </c>
      <c r="I69" s="5">
        <v>90.0</v>
      </c>
      <c r="J69" s="5" t="s">
        <v>180</v>
      </c>
      <c r="L69" s="5">
        <v>8.0</v>
      </c>
      <c r="M69" s="5" t="s">
        <v>33</v>
      </c>
      <c r="N69" s="5" t="s">
        <v>27</v>
      </c>
      <c r="O69" s="5" t="s">
        <v>28</v>
      </c>
      <c r="P69" s="5" t="str">
        <f>IFERROR(__xludf.DUMMYFUNCTION("AI(""Extract and delete ratings from Column P2:P101"")"),"5, 4, 1")</f>
        <v>5, 4, 1</v>
      </c>
      <c r="Q69" s="5" t="str">
        <f>IFERROR(__xludf.DUMMYFUNCTION("AI(""Extract onlu Reviews in column P2:P101"")"),"- Highly impressed\!
  - Highly recommended\!
  - Not as described\!")</f>
        <v>- Highly impressed\!
  - Highly recommended\!
  - Not as described\!</v>
      </c>
      <c r="R69" s="5" t="str">
        <f>IFERROR(__xludf.DUMMYFUNCTION("AI(""Retain only date and time in column Q2:Q101 remove any unimportant information"")"),"2025-04-30 09:41:02")</f>
        <v>2025-04-30 09:41:02</v>
      </c>
      <c r="S69" s="7" t="str">
        <f>IFERROR(__xludf.DUMMYFUNCTION("AI(""Extract only emails from Column P2:P101"")"),"michael.johnson@x.dummyjson.com, adrian.flores@x.dummyjson.com, nicholas.bailey@x.dummyjson.com")</f>
        <v>michael.johnson@x.dummyjson.com, adrian.flores@x.dummyjson.com, nicholas.bailey@x.dummyjson.com</v>
      </c>
      <c r="T69" s="7" t="str">
        <f>IFERROR(__xludf.DUMMYFUNCTION("AI(""Analyse the consumers' reviews in Column Q2:Q101 using 2words"")"),"Mixed feedback")</f>
        <v>Mixed feedback</v>
      </c>
      <c r="U69" s="5" t="s">
        <v>96</v>
      </c>
      <c r="V69" s="5">
        <v>17.0</v>
      </c>
    </row>
    <row r="70" ht="22.5" customHeight="1">
      <c r="A70" s="5" t="s">
        <v>181</v>
      </c>
      <c r="B70" s="6" t="str">
        <f>IFERROR(__xludf.DUMMYFUNCTION("AI(""Generate catchy and well detailed product descriptions in 8words for the products in Column A"")"),"Elegant durable dining essential for every stylish meal.")</f>
        <v>Elegant durable dining essential for every stylish meal.</v>
      </c>
      <c r="C70" s="6" t="str">
        <f>IFERROR(__xludf.DUMMYFUNCTION("AI(""Generate brief summary for the product descriptions in columnB using 3 keywords"")"),"Elegant, durable, essential")</f>
        <v>Elegant, durable, essential</v>
      </c>
      <c r="D70" s="7" t="str">
        <f>IFERROR(__xludf.DUMMYFUNCTION("AI(""translate product desptions in column B to Igbo"")"),"Ite nri mara mma ma sie ike maka nri ọ bụla mara mma.")</f>
        <v>Ite nri mara mma ma sie ike maka nri ọ bụla mara mma.</v>
      </c>
      <c r="E70" s="5" t="s">
        <v>143</v>
      </c>
      <c r="F70" s="5">
        <v>3.99</v>
      </c>
      <c r="G70" s="5">
        <v>7.31</v>
      </c>
      <c r="H70" s="5">
        <v>3.65</v>
      </c>
      <c r="I70" s="5">
        <v>66.0</v>
      </c>
      <c r="J70" s="5" t="s">
        <v>182</v>
      </c>
      <c r="L70" s="5">
        <v>4.0</v>
      </c>
      <c r="M70" s="5" t="s">
        <v>33</v>
      </c>
      <c r="N70" s="5" t="s">
        <v>40</v>
      </c>
      <c r="O70" s="5" t="s">
        <v>28</v>
      </c>
      <c r="P70" s="5" t="str">
        <f>IFERROR(__xludf.DUMMYFUNCTION("AI(""Extract and delete ratings from Column P2:P101"")"),"3, 4, 4")</f>
        <v>3, 4, 4</v>
      </c>
      <c r="Q70" s="5" t="str">
        <f>IFERROR(__xludf.DUMMYFUNCTION("AI(""Extract onlu Reviews in column P2:P101"")"),"- Disappointing product\!
  - Great product\!
  - Excellent quality\!")</f>
        <v>- Disappointing product\!
  - Great product\!
  - Excellent quality\!</v>
      </c>
      <c r="R70" s="5" t="str">
        <f>IFERROR(__xludf.DUMMYFUNCTION("AI(""Retain only date and time in column Q2:Q101 remove any unimportant information"")"),"2025-04-30 09:41:02")</f>
        <v>2025-04-30 09:41:02</v>
      </c>
      <c r="S70" s="7" t="str">
        <f>IFERROR(__xludf.DUMMYFUNCTION("AI(""Extract only emails from Column P2:P101"")"),"mia.miller@x.dummyjson.com, henry.adams@x.dummyjson.com, nora.russell@x.dummyjson.com")</f>
        <v>mia.miller@x.dummyjson.com, henry.adams@x.dummyjson.com, nora.russell@x.dummyjson.com</v>
      </c>
      <c r="T70" s="7" t="str">
        <f>IFERROR(__xludf.DUMMYFUNCTION("AI(""Analyse the consumers' reviews in Column Q2:Q101 using 2words"")"),"Mixed feedback")</f>
        <v>Mixed feedback</v>
      </c>
      <c r="U70" s="5" t="s">
        <v>55</v>
      </c>
      <c r="V70" s="5">
        <v>6.0</v>
      </c>
    </row>
    <row r="71" ht="22.5" customHeight="1">
      <c r="A71" s="5" t="s">
        <v>183</v>
      </c>
      <c r="B71" s="6" t="str">
        <f>IFERROR(__xludf.DUMMYFUNCTION("AI(""Generate catchy and well detailed product descriptions in 8words for the products in Column A"")"),"Vibrant red kitchen tongs for effortless food handling.")</f>
        <v>Vibrant red kitchen tongs for effortless food handling.</v>
      </c>
      <c r="C71" s="6" t="str">
        <f>IFERROR(__xludf.DUMMYFUNCTION("AI(""Generate brief summary for the product descriptions in columnB using 3 keywords"")"),"Vibrant, red, tongs")</f>
        <v>Vibrant, red, tongs</v>
      </c>
      <c r="D71" s="7" t="str">
        <f>IFERROR(__xludf.DUMMYFUNCTION("AI(""translate product desptions in column B to Igbo"")"),"Mkpanyịaka kichin na-acha uhie uhie na-enwu enwu maka ijizi nri n'ụzọ dị mfe.")</f>
        <v>Mkpanyịaka kichin na-acha uhie uhie na-enwu enwu maka ijizi nri n'ụzọ dị mfe.</v>
      </c>
      <c r="E71" s="5" t="s">
        <v>143</v>
      </c>
      <c r="F71" s="5">
        <v>6.99</v>
      </c>
      <c r="G71" s="5">
        <v>14.52</v>
      </c>
      <c r="H71" s="5">
        <v>4.42</v>
      </c>
      <c r="I71" s="5">
        <v>82.0</v>
      </c>
      <c r="J71" s="5" t="s">
        <v>184</v>
      </c>
      <c r="L71" s="5">
        <v>7.0</v>
      </c>
      <c r="M71" s="5" t="s">
        <v>101</v>
      </c>
      <c r="N71" s="5" t="s">
        <v>45</v>
      </c>
      <c r="O71" s="5" t="s">
        <v>28</v>
      </c>
      <c r="P71" s="5" t="str">
        <f>IFERROR(__xludf.DUMMYFUNCTION("AI(""Extract and delete ratings from Column P2:P101"")"),"4, 5, 4")</f>
        <v>4, 5, 4</v>
      </c>
      <c r="Q71" s="5" t="str">
        <f>IFERROR(__xludf.DUMMYFUNCTION("AI(""Extract onlu Reviews in column P2:P101"")"),"- Very satisfied\!
  - Highly recommended\!
  - Excellent quality\!")</f>
        <v>- Very satisfied\!
  - Highly recommended\!
  - Excellent quality\!</v>
      </c>
      <c r="R71" s="5" t="str">
        <f>IFERROR(__xludf.DUMMYFUNCTION("AI(""Retain only date and time in column Q2:Q101 remove any unimportant information"")"),"2025-04-30 09:41:02")</f>
        <v>2025-04-30 09:41:02</v>
      </c>
      <c r="S71" s="7" t="str">
        <f>IFERROR(__xludf.DUMMYFUNCTION("AI(""Extract only emails from Column P2:P101"")"),"xavier.wright@x.dummyjson.com, stella.hughes@x.dummyjson.com, jaxon.barnes@x.dummyjson.com")</f>
        <v>xavier.wright@x.dummyjson.com, stella.hughes@x.dummyjson.com, jaxon.barnes@x.dummyjson.com</v>
      </c>
      <c r="T71" s="7" t="str">
        <f>IFERROR(__xludf.DUMMYFUNCTION("AI(""Analyse the consumers' reviews in Column Q2:Q101 using 2words"")"),"Positive feedback")</f>
        <v>Positive feedback</v>
      </c>
      <c r="U71" s="5" t="s">
        <v>96</v>
      </c>
      <c r="V71" s="5">
        <v>23.0</v>
      </c>
    </row>
    <row r="72" ht="22.5" customHeight="1">
      <c r="A72" s="5" t="s">
        <v>185</v>
      </c>
      <c r="B72" s="6" t="str">
        <f>IFERROR(__xludf.DUMMYFUNCTION("AI(""Generate catchy and well detailed product descriptions in 8words for the products in Column A"")"),"Sleek silver pot with glass cap for visibility.")</f>
        <v>Sleek silver pot with glass cap for visibility.</v>
      </c>
      <c r="C72" s="6" t="str">
        <f>IFERROR(__xludf.DUMMYFUNCTION("AI(""Generate brief summary for the product descriptions in columnB using 3 keywords"")"),"Sleek, silver, visible")</f>
        <v>Sleek, silver, visible</v>
      </c>
      <c r="D72" s="7" t="str">
        <f>IFERROR(__xludf.DUMMYFUNCTION("AI(""translate product desptions in column B to Igbo"")"),"Ite ọla ọcha nwere mkpuchi iko maka ọhụụ.")</f>
        <v>Ite ọla ọcha nwere mkpuchi iko maka ọhụụ.</v>
      </c>
      <c r="E72" s="5" t="s">
        <v>143</v>
      </c>
      <c r="F72" s="5">
        <v>39.99</v>
      </c>
      <c r="G72" s="5">
        <v>5.7</v>
      </c>
      <c r="H72" s="5">
        <v>3.22</v>
      </c>
      <c r="I72" s="5">
        <v>40.0</v>
      </c>
      <c r="J72" s="5" t="s">
        <v>186</v>
      </c>
      <c r="L72" s="5">
        <v>7.0</v>
      </c>
      <c r="M72" s="5" t="s">
        <v>33</v>
      </c>
      <c r="N72" s="5" t="s">
        <v>62</v>
      </c>
      <c r="O72" s="5" t="s">
        <v>28</v>
      </c>
      <c r="P72" s="5" t="str">
        <f>IFERROR(__xludf.DUMMYFUNCTION("AI(""Extract and delete ratings from Column P2:P101"")"),"4, 4, 1")</f>
        <v>4, 4, 1</v>
      </c>
      <c r="Q72" s="5" t="str">
        <f>IFERROR(__xludf.DUMMYFUNCTION("AI(""Extract onlu Reviews in column P2:P101"")"),"- Great product\!
  - Excellent quality\!
  - Disappointing product\!")</f>
        <v>- Great product\!
  - Excellent quality\!
  - Disappointing product\!</v>
      </c>
      <c r="R72" s="5" t="str">
        <f>IFERROR(__xludf.DUMMYFUNCTION("AI(""Retain only date and time in column Q2:Q101 remove any unimportant information"")"),"2025-04-30 09:41:02")</f>
        <v>2025-04-30 09:41:02</v>
      </c>
      <c r="S72" s="7" t="str">
        <f>IFERROR(__xludf.DUMMYFUNCTION("AI(""Extract only emails from Column P2:P101"")"),"julian.newton@x.dummyjson.com, noah.lewis@x.dummyjson.com, brayden.hill@x.dummyjson.com")</f>
        <v>julian.newton@x.dummyjson.com, noah.lewis@x.dummyjson.com, brayden.hill@x.dummyjson.com</v>
      </c>
      <c r="T72" s="7" t="str">
        <f>IFERROR(__xludf.DUMMYFUNCTION("AI(""Analyse the consumers' reviews in Column Q2:Q101 using 2words"")"),"Mixed Feedback")</f>
        <v>Mixed Feedback</v>
      </c>
      <c r="U72" s="5" t="s">
        <v>55</v>
      </c>
      <c r="V72" s="5">
        <v>10.0</v>
      </c>
    </row>
    <row r="73" ht="22.5" customHeight="1">
      <c r="A73" s="5" t="s">
        <v>187</v>
      </c>
      <c r="B73" s="6" t="str">
        <f>IFERROR(__xludf.DUMMYFUNCTION("AI(""Generate catchy and well detailed product descriptions in 8words for the products in Column A"")"),"Durable stainless steel turner for easy kitchen flipping.")</f>
        <v>Durable stainless steel turner for easy kitchen flipping.</v>
      </c>
      <c r="C73" s="6" t="str">
        <f>IFERROR(__xludf.DUMMYFUNCTION("AI(""Generate brief summary for the product descriptions in columnB using 3 keywords"")"),"Durable, stainless, flipping")</f>
        <v>Durable, stainless, flipping</v>
      </c>
      <c r="D73" s="7" t="str">
        <f>IFERROR(__xludf.DUMMYFUNCTION("AI(""translate product desptions in column B to Igbo"")"),"Ihe nkedo igwe anaghị agba nchara na-adịte aka maka ịtụgharị nri n'ụzọ dị mfe na kichin.")</f>
        <v>Ihe nkedo igwe anaghị agba nchara na-adịte aka maka ịtụgharị nri n'ụzọ dị mfe na kichin.</v>
      </c>
      <c r="E73" s="5" t="s">
        <v>143</v>
      </c>
      <c r="F73" s="5">
        <v>8.99</v>
      </c>
      <c r="G73" s="5">
        <v>13.35</v>
      </c>
      <c r="H73" s="5">
        <v>3.4</v>
      </c>
      <c r="I73" s="5">
        <v>88.0</v>
      </c>
      <c r="J73" s="5" t="s">
        <v>188</v>
      </c>
      <c r="L73" s="5">
        <v>8.0</v>
      </c>
      <c r="M73" s="5" t="s">
        <v>73</v>
      </c>
      <c r="N73" s="5" t="s">
        <v>40</v>
      </c>
      <c r="O73" s="5" t="s">
        <v>28</v>
      </c>
      <c r="P73" s="5" t="str">
        <f>IFERROR(__xludf.DUMMYFUNCTION("AI(""Extract and delete ratings from Column P2:P101"")"),"1, 2, 5")</f>
        <v>1, 2, 5</v>
      </c>
      <c r="Q73" s="5" t="str">
        <f>IFERROR(__xludf.DUMMYFUNCTION("AI(""Extract onlu Reviews in column P2:P101"")"),"- Would not recommend\!
  - Would not recommend\!
  - Very satisfied\!")</f>
        <v>- Would not recommend\!
  - Would not recommend\!
  - Very satisfied\!</v>
      </c>
      <c r="R73" s="5" t="str">
        <f>IFERROR(__xludf.DUMMYFUNCTION("AI(""Retain only date and time in column Q2:Q101 remove any unimportant information"")"),"2025-04-30 09:41:02")</f>
        <v>2025-04-30 09:41:02</v>
      </c>
      <c r="S73" s="7" t="str">
        <f>IFERROR(__xludf.DUMMYFUNCTION("AI(""Extract only emails from Column P2:P101"")"),"ava.taylor@x.dummyjson.com, liam.smith@x.dummyjson.com, gabriel.mitchell@x.dummyjson.com")</f>
        <v>ava.taylor@x.dummyjson.com, liam.smith@x.dummyjson.com, gabriel.mitchell@x.dummyjson.com</v>
      </c>
      <c r="T73" s="7" t="str">
        <f>IFERROR(__xludf.DUMMYFUNCTION("AI(""Analyse the consumers' reviews in Column Q2:Q101 using 2words"")"),"Mixed feedback")</f>
        <v>Mixed feedback</v>
      </c>
      <c r="U73" s="5" t="s">
        <v>35</v>
      </c>
      <c r="V73" s="5">
        <v>34.0</v>
      </c>
    </row>
    <row r="74" ht="22.5" customHeight="1">
      <c r="A74" s="5" t="s">
        <v>189</v>
      </c>
      <c r="B74" s="6" t="str">
        <f>IFERROR(__xludf.DUMMYFUNCTION("AI(""Generate catchy and well detailed product descriptions in 8words for the products in Column A"")"),"Keep spices organized and accessible with this rack.")</f>
        <v>Keep spices organized and accessible with this rack.</v>
      </c>
      <c r="C74" s="6" t="str">
        <f>IFERROR(__xludf.DUMMYFUNCTION("AI(""Generate brief summary for the product descriptions in columnB using 3 keywords"")"),"Organized, accessible, sturdy")</f>
        <v>Organized, accessible, sturdy</v>
      </c>
      <c r="D74" s="7" t="str">
        <f>IFERROR(__xludf.DUMMYFUNCTION("AI(""translate product desptions in column B to Igbo"")"),"Dọba ihe na-esi ísì ụtọ gị n'usoro ma nwee ike iru ha nfe site n'iji ihe nkwụnye a.")</f>
        <v>Dọba ihe na-esi ísì ụtọ gị n'usoro ma nwee ike iru ha nfe site n'iji ihe nkwụnye a.</v>
      </c>
      <c r="E74" s="5" t="s">
        <v>143</v>
      </c>
      <c r="F74" s="5">
        <v>19.99</v>
      </c>
      <c r="G74" s="5">
        <v>12.09</v>
      </c>
      <c r="H74" s="5">
        <v>4.87</v>
      </c>
      <c r="I74" s="5">
        <v>79.0</v>
      </c>
      <c r="J74" s="5" t="s">
        <v>178</v>
      </c>
      <c r="L74" s="5">
        <v>7.0</v>
      </c>
      <c r="M74" s="5" t="s">
        <v>26</v>
      </c>
      <c r="N74" s="5" t="s">
        <v>50</v>
      </c>
      <c r="O74" s="5" t="s">
        <v>28</v>
      </c>
      <c r="P74" s="5" t="str">
        <f>IFERROR(__xludf.DUMMYFUNCTION("AI(""Extract and delete ratings from Column P2:P101"")"),"5, 4, 2")</f>
        <v>5, 4, 2</v>
      </c>
      <c r="Q74" s="5" t="str">
        <f>IFERROR(__xludf.DUMMYFUNCTION("AI(""Extract onlu Reviews in column P2:P101"")"),"- Very satisfied\!
  - Excellent quality\!
  - Waste of money\!")</f>
        <v>- Very satisfied\!
  - Excellent quality\!
  - Waste of money\!</v>
      </c>
      <c r="R74" s="5" t="str">
        <f>IFERROR(__xludf.DUMMYFUNCTION("AI(""Retain only date and time in column Q2:Q101 remove any unimportant information"")"),"2025-04-30 09:41:02")</f>
        <v>2025-04-30 09:41:02</v>
      </c>
      <c r="S74" s="7" t="str">
        <f>IFERROR(__xludf.DUMMYFUNCTION("AI(""Extract only emails from Column P2:P101"")"),"elena.baker@x.dummyjson.com, owen.fisher@x.dummyjson.com, sadie.morales@x.dummyjson.com")</f>
        <v>elena.baker@x.dummyjson.com, owen.fisher@x.dummyjson.com, sadie.morales@x.dummyjson.com</v>
      </c>
      <c r="T74" s="7" t="str">
        <f>IFERROR(__xludf.DUMMYFUNCTION("AI(""Analyse the consumers' reviews in Column Q2:Q101 using 2words"")"),"Mixed feedback")</f>
        <v>Mixed feedback</v>
      </c>
      <c r="U74" s="5" t="s">
        <v>35</v>
      </c>
      <c r="V74" s="5">
        <v>18.0</v>
      </c>
    </row>
    <row r="75" ht="22.5" customHeight="1">
      <c r="A75" s="5" t="s">
        <v>190</v>
      </c>
      <c r="B75" s="6" t="str">
        <f>IFERROR(__xludf.DUMMYFUNCTION("AI(""Generate catchy and well detailed product descriptions in 8words for the products in Column A"")"),"Classic durable spoon perfect for all your meals.")</f>
        <v>Classic durable spoon perfect for all your meals.</v>
      </c>
      <c r="C75" s="6" t="str">
        <f>IFERROR(__xludf.DUMMYFUNCTION("AI(""Generate brief summary for the product descriptions in columnB using 3 keywords"")"),"Classic, durable, essential")</f>
        <v>Classic, durable, essential</v>
      </c>
      <c r="D75" s="7" t="str">
        <f>IFERROR(__xludf.DUMMYFUNCTION("AI(""translate product desptions in column B to Igbo"")"),"Ngaji na-adịgide adịgide nke zuru oke maka nri gị niile.")</f>
        <v>Ngaji na-adịgide adịgide nke zuru oke maka nri gị niile.</v>
      </c>
      <c r="E75" s="5" t="s">
        <v>143</v>
      </c>
      <c r="F75" s="5">
        <v>4.99</v>
      </c>
      <c r="G75" s="5">
        <v>1.53</v>
      </c>
      <c r="H75" s="5">
        <v>4.03</v>
      </c>
      <c r="I75" s="5">
        <v>59.0</v>
      </c>
      <c r="J75" s="5" t="s">
        <v>144</v>
      </c>
      <c r="L75" s="5">
        <v>6.0</v>
      </c>
      <c r="M75" s="5" t="s">
        <v>33</v>
      </c>
      <c r="N75" s="5" t="s">
        <v>40</v>
      </c>
      <c r="O75" s="5" t="s">
        <v>28</v>
      </c>
      <c r="P75" s="5" t="str">
        <f>IFERROR(__xludf.DUMMYFUNCTION("AI(""Extract and delete ratings from Column P2:P101"")"),"3, 1, 4")</f>
        <v>3, 1, 4</v>
      </c>
      <c r="Q75" s="5" t="str">
        <f>IFERROR(__xludf.DUMMYFUNCTION("AI(""Extract onlu Reviews in column P2:P101"")"),"- Waste of money\!
  - Disappointing product\!
  - Awesome product\!")</f>
        <v>- Waste of money\!
  - Disappointing product\!
  - Awesome product\!</v>
      </c>
      <c r="R75" s="5" t="str">
        <f>IFERROR(__xludf.DUMMYFUNCTION("AI(""Retain only date and time in column Q2:Q101 remove any unimportant information"")"),"2025-04-30 09:41:02")</f>
        <v>2025-04-30 09:41:02</v>
      </c>
      <c r="S75" s="7" t="str">
        <f>IFERROR(__xludf.DUMMYFUNCTION("AI(""Extract only emails from Column P2:P101"")"),"jackson.evans@x.dummyjson.com, elena.baker@x.dummyjson.com, bella.gonzalez@x.dummyjson.com")</f>
        <v>jackson.evans@x.dummyjson.com, elena.baker@x.dummyjson.com, bella.gonzalez@x.dummyjson.com</v>
      </c>
      <c r="T75" s="7" t="str">
        <f>IFERROR(__xludf.DUMMYFUNCTION("AI(""Analyse the consumers' reviews in Column Q2:Q101 using 2words"")"),"Mixed feedback")</f>
        <v>Mixed feedback</v>
      </c>
      <c r="U75" s="5" t="s">
        <v>55</v>
      </c>
      <c r="V75" s="5">
        <v>15.0</v>
      </c>
    </row>
    <row r="76" ht="22.5" customHeight="1">
      <c r="A76" s="5" t="s">
        <v>191</v>
      </c>
      <c r="B76" s="6" t="str">
        <f>IFERROR(__xludf.DUMMYFUNCTION("AI(""Generate catchy and well detailed product descriptions in 8words for the products in Column A"")"),"Durable elegant tray for stylish and seamless serving.")</f>
        <v>Durable elegant tray for stylish and seamless serving.</v>
      </c>
      <c r="C76" s="6" t="str">
        <f>IFERROR(__xludf.DUMMYFUNCTION("AI(""Generate brief summary for the product descriptions in columnB using 3 keywords"")"),"Durable, elegant, seamless")</f>
        <v>Durable, elegant, seamless</v>
      </c>
      <c r="D76" s="7" t="str">
        <f>IFERROR(__xludf.DUMMYFUNCTION("AI(""translate product desptions in column B to Igbo"")"),"Tiree mara mma nke na-adịte aka maka inye ihe n'ụzọ dị mfe ma mara mma.")</f>
        <v>Tiree mara mma nke na-adịte aka maka inye ihe n'ụzọ dị mfe ma mara mma.</v>
      </c>
      <c r="E76" s="5" t="s">
        <v>143</v>
      </c>
      <c r="F76" s="5">
        <v>16.99</v>
      </c>
      <c r="G76" s="5">
        <v>7.48</v>
      </c>
      <c r="H76" s="5">
        <v>4.62</v>
      </c>
      <c r="I76" s="5">
        <v>71.0</v>
      </c>
      <c r="J76" s="5" t="s">
        <v>192</v>
      </c>
      <c r="L76" s="5">
        <v>10.0</v>
      </c>
      <c r="M76" s="5" t="s">
        <v>77</v>
      </c>
      <c r="N76" s="5" t="s">
        <v>34</v>
      </c>
      <c r="O76" s="5" t="s">
        <v>28</v>
      </c>
      <c r="P76" s="5" t="str">
        <f>IFERROR(__xludf.DUMMYFUNCTION("AI(""Extract and delete ratings from Column P2:P101"")"),"5, 3, 4")</f>
        <v>5, 3, 4</v>
      </c>
      <c r="Q76" s="5" t="str">
        <f>IFERROR(__xludf.DUMMYFUNCTION("AI(""Extract onlu Reviews in column P2:P101"")"),"- Fast shipping\!
  - Very disappointed\!
  - Excellent quality\!")</f>
        <v>- Fast shipping\!
  - Very disappointed\!
  - Excellent quality\!</v>
      </c>
      <c r="R76" s="5" t="str">
        <f>IFERROR(__xludf.DUMMYFUNCTION("AI(""Retain only date and time in column Q2:Q101 remove any unimportant information"")"),"2025-04-30 09:41:02")</f>
        <v>2025-04-30 09:41:02</v>
      </c>
      <c r="S76" s="7" t="str">
        <f>IFERROR(__xludf.DUMMYFUNCTION("AI(""Extract only emails from Column P2:P101"")"),"samantha.howard@x.dummyjson.com, benjamin.wilson@x.dummyjson.com, caleb.nelson@x.dummyjson.com")</f>
        <v>samantha.howard@x.dummyjson.com, benjamin.wilson@x.dummyjson.com, caleb.nelson@x.dummyjson.com</v>
      </c>
      <c r="T76" s="7" t="str">
        <f>IFERROR(__xludf.DUMMYFUNCTION("AI(""Analyse the consumers' reviews in Column Q2:Q101 using 2words"")"),"Mixed feedback")</f>
        <v>Mixed feedback</v>
      </c>
      <c r="U76" s="5" t="s">
        <v>35</v>
      </c>
      <c r="V76" s="5">
        <v>23.0</v>
      </c>
    </row>
    <row r="77" ht="22.5" customHeight="1">
      <c r="A77" s="5" t="s">
        <v>193</v>
      </c>
      <c r="B77" s="6" t="str">
        <f>IFERROR(__xludf.DUMMYFUNCTION("AI(""Generate catchy and well detailed product descriptions in 8words for the products in Column A"")"),"Smooth wooden rolling pin for perfectly even dough.")</f>
        <v>Smooth wooden rolling pin for perfectly even dough.</v>
      </c>
      <c r="C77" s="6" t="str">
        <f>IFERROR(__xludf.DUMMYFUNCTION("AI(""Generate brief summary for the product descriptions in columnB using 3 keywords"")"),"Smooth, wooden, even")</f>
        <v>Smooth, wooden, even</v>
      </c>
      <c r="D77" s="7" t="str">
        <f>IFERROR(__xludf.DUMMYFUNCTION("AI(""translate product desptions in column B to Igbo"")"),"Ihe eji atụgharị ntụ ọka osisi dị mma maka ntụ ọka hara nhata nke ọma.")</f>
        <v>Ihe eji atụgharị ntụ ọka osisi dị mma maka ntụ ọka hara nhata nke ọma.</v>
      </c>
      <c r="E77" s="5" t="s">
        <v>143</v>
      </c>
      <c r="F77" s="5">
        <v>11.99</v>
      </c>
      <c r="G77" s="5">
        <v>9.75</v>
      </c>
      <c r="H77" s="5">
        <v>2.92</v>
      </c>
      <c r="I77" s="5">
        <v>80.0</v>
      </c>
      <c r="J77" s="5" t="s">
        <v>194</v>
      </c>
      <c r="L77" s="5">
        <v>7.0</v>
      </c>
      <c r="M77" s="5" t="s">
        <v>44</v>
      </c>
      <c r="N77" s="5" t="s">
        <v>34</v>
      </c>
      <c r="O77" s="5" t="s">
        <v>28</v>
      </c>
      <c r="P77" s="5" t="str">
        <f>IFERROR(__xludf.DUMMYFUNCTION("AI(""Extract and delete ratings from Column P2:P101"")"),"2, 3, 5")</f>
        <v>2, 3, 5</v>
      </c>
      <c r="Q77" s="5" t="str">
        <f>IFERROR(__xludf.DUMMYFUNCTION("AI(""Extract onlu Reviews in column P2:P101"")"),"- Would not recommend\!
  - Very disappointed\!
  - Great product\!")</f>
        <v>- Would not recommend\!
  - Very disappointed\!
  - Great product\!</v>
      </c>
      <c r="R77" s="5" t="str">
        <f>IFERROR(__xludf.DUMMYFUNCTION("AI(""Retain only date and time in column Q2:Q101 remove any unimportant information"")"),"2025-04-30 09:41:02")</f>
        <v>2025-04-30 09:41:02</v>
      </c>
      <c r="S77" s="7" t="str">
        <f>IFERROR(__xludf.DUMMYFUNCTION("AI(""Extract only emails from Column P2:P101"")"),"aurora.lawson@x.dummyjson.com, ava.taylor@x.dummyjson.com, mila.hernandez@x.dummyjson.com")</f>
        <v>aurora.lawson@x.dummyjson.com, ava.taylor@x.dummyjson.com, mila.hernandez@x.dummyjson.com</v>
      </c>
      <c r="T77" s="7" t="str">
        <f>IFERROR(__xludf.DUMMYFUNCTION("AI(""Analyse the consumers' reviews in Column Q2:Q101 using 2words"")"),"Mixed Feedback")</f>
        <v>Mixed Feedback</v>
      </c>
      <c r="U77" s="5" t="s">
        <v>96</v>
      </c>
      <c r="V77" s="5">
        <v>11.0</v>
      </c>
    </row>
    <row r="78" ht="22.5" customHeight="1">
      <c r="A78" s="5" t="s">
        <v>195</v>
      </c>
      <c r="B78" s="6" t="str">
        <f>IFERROR(__xludf.DUMMYFUNCTION("AI(""Generate catchy and well detailed product descriptions in 8words for the products in Column A"")"),"Vibrant yellow peeler for effortless and precise peeling.")</f>
        <v>Vibrant yellow peeler for effortless and precise peeling.</v>
      </c>
      <c r="C78" s="6" t="str">
        <f>IFERROR(__xludf.DUMMYFUNCTION("AI(""Generate brief summary for the product descriptions in columnB using 3 keywords"")"),"Vibrant, effortless, precise")</f>
        <v>Vibrant, effortless, precise</v>
      </c>
      <c r="D78" s="7" t="str">
        <f>IFERROR(__xludf.DUMMYFUNCTION("AI(""translate product desptions in column B to Igbo"")"),"Ihe eji akpụ ihe edo edo na-egbuke egbuke maka nkpụcha dị mfe ma ziri ezi.")</f>
        <v>Ihe eji akpụ ihe edo edo na-egbuke egbuke maka nkpụcha dị mfe ma ziri ezi.</v>
      </c>
      <c r="E78" s="5" t="s">
        <v>143</v>
      </c>
      <c r="F78" s="5">
        <v>5.99</v>
      </c>
      <c r="G78" s="5">
        <v>12.48</v>
      </c>
      <c r="H78" s="5">
        <v>4.24</v>
      </c>
      <c r="I78" s="5">
        <v>35.0</v>
      </c>
      <c r="J78" s="5" t="s">
        <v>196</v>
      </c>
      <c r="L78" s="5">
        <v>7.0</v>
      </c>
      <c r="M78" s="5" t="s">
        <v>49</v>
      </c>
      <c r="N78" s="5" t="s">
        <v>27</v>
      </c>
      <c r="O78" s="5" t="s">
        <v>28</v>
      </c>
      <c r="P78" s="5" t="str">
        <f>IFERROR(__xludf.DUMMYFUNCTION("AI(""Extract and delete ratings from Column P2:P101"")"),"1, 5, 4")</f>
        <v>1, 5, 4</v>
      </c>
      <c r="Q78" s="5" t="str">
        <f>IFERROR(__xludf.DUMMYFUNCTION("AI(""Extract onlu Reviews in column P2:P101"")"),"- Very unhappy with my purchase\!
  - Very happy with my purchase\!
  - Great product\!")</f>
        <v>- Very unhappy with my purchase\!
  - Very happy with my purchase\!
  - Great product\!</v>
      </c>
      <c r="R78" s="5" t="str">
        <f>IFERROR(__xludf.DUMMYFUNCTION("AI(""Retain only date and time in column Q2:Q101 remove any unimportant information"")"),"2025-04-30 09:41:02")</f>
        <v>2025-04-30 09:41:02</v>
      </c>
      <c r="S78" s="7" t="str">
        <f>IFERROR(__xludf.DUMMYFUNCTION("AI(""Extract only emails from Column P2:P101"")"),"claire.foster@x.dummyjson.com, aaliyah.hanson@x.dummyjson.com, olivia.wilson@x.dummyjson.com")</f>
        <v>claire.foster@x.dummyjson.com, aaliyah.hanson@x.dummyjson.com, olivia.wilson@x.dummyjson.com</v>
      </c>
      <c r="T78" s="7" t="str">
        <f>IFERROR(__xludf.DUMMYFUNCTION("AI(""Analyse the consumers' reviews in Column Q2:Q101 using 2words"")"),"Mixed Feedback")</f>
        <v>Mixed Feedback</v>
      </c>
      <c r="U78" s="5" t="s">
        <v>55</v>
      </c>
      <c r="V78" s="5">
        <v>6.0</v>
      </c>
    </row>
    <row r="79" ht="22.5" customHeight="1">
      <c r="A79" s="5" t="s">
        <v>197</v>
      </c>
      <c r="B79" s="6" t="str">
        <f>IFERROR(__xludf.DUMMYFUNCTION("AI(""Generate catchy and well detailed product descriptions in 8words for the products in Column A"")"),"Incredible Pro power meets sleek space grey design.")</f>
        <v>Incredible Pro power meets sleek space grey design.</v>
      </c>
      <c r="C79" s="6" t="str">
        <f>IFERROR(__xludf.DUMMYFUNCTION("AI(""Generate brief summary for the product descriptions in columnB using 3 keywords"")"),"Powerful, Sleek, Professional")</f>
        <v>Powerful, Sleek, Professional</v>
      </c>
      <c r="D79" s="7" t="str">
        <f>IFERROR(__xludf.DUMMYFUNCTION("AI(""translate product desptions in column B to Igbo"")"),"Ike Pro dị egwu na-ezute nhazi space grey mara mma.")</f>
        <v>Ike Pro dị egwu na-ezute nhazi space grey mara mma.</v>
      </c>
      <c r="E79" s="5" t="s">
        <v>198</v>
      </c>
      <c r="F79" s="5">
        <v>1999.99</v>
      </c>
      <c r="G79" s="5">
        <v>4.69</v>
      </c>
      <c r="H79" s="5">
        <v>3.65</v>
      </c>
      <c r="I79" s="5">
        <v>24.0</v>
      </c>
      <c r="J79" s="5" t="s">
        <v>199</v>
      </c>
      <c r="K79" s="5" t="s">
        <v>86</v>
      </c>
      <c r="L79" s="5">
        <v>9.0</v>
      </c>
      <c r="M79" s="5" t="s">
        <v>44</v>
      </c>
      <c r="N79" s="5" t="s">
        <v>34</v>
      </c>
      <c r="O79" s="5" t="s">
        <v>28</v>
      </c>
      <c r="P79" s="5" t="str">
        <f>IFERROR(__xludf.DUMMYFUNCTION("AI(""Extract and delete ratings from Column P2:P101"")"),"5, 5, 4")</f>
        <v>5, 5, 4</v>
      </c>
      <c r="Q79" s="5" t="str">
        <f>IFERROR(__xludf.DUMMYFUNCTION("AI(""Extract onlu Reviews in column P2:P101"")"),"- Very happy with my purchase\!
  - Very happy with my purchase\!
  - Very satisfied\!")</f>
        <v>- Very happy with my purchase\!
  - Very happy with my purchase\!
  - Very satisfied\!</v>
      </c>
      <c r="R79" s="5" t="str">
        <f>IFERROR(__xludf.DUMMYFUNCTION("AI(""Retain only date and time in column Q2:Q101 remove any unimportant information"")"),"2025-04-30 09:41:02")</f>
        <v>2025-04-30 09:41:02</v>
      </c>
      <c r="S79" s="7" t="str">
        <f>IFERROR(__xludf.DUMMYFUNCTION("AI(""Extract only emails from Column P2:P101"")"),"hazel.evans@x.dummyjson.com, christopher.west@x.dummyjson.com, aubrey.garcia@x.dummyjson.com")</f>
        <v>hazel.evans@x.dummyjson.com, christopher.west@x.dummyjson.com, aubrey.garcia@x.dummyjson.com</v>
      </c>
      <c r="T79" s="7" t="str">
        <f>IFERROR(__xludf.DUMMYFUNCTION("AI(""Analyse the consumers' reviews in Column Q2:Q101 using 2words"")"),"Highly positive")</f>
        <v>Highly positive</v>
      </c>
      <c r="U79" s="5" t="s">
        <v>55</v>
      </c>
      <c r="V79" s="5">
        <v>1.0</v>
      </c>
    </row>
    <row r="80" ht="22.5" customHeight="1">
      <c r="A80" s="5" t="s">
        <v>200</v>
      </c>
      <c r="B80" s="6" t="str">
        <f>IFERROR(__xludf.DUMMYFUNCTION("AI(""Generate catchy and well detailed product descriptions in 8words for the products in Column A"")"),"Dual screen innovation for seamless multitasking and creativity.")</f>
        <v>Dual screen innovation for seamless multitasking and creativity.</v>
      </c>
      <c r="C80" s="6" t="str">
        <f>IFERROR(__xludf.DUMMYFUNCTION("AI(""Generate brief summary for the product descriptions in columnB using 3 keywords"")"),"Dual-screen, multitasking, creativity")</f>
        <v>Dual-screen, multitasking, creativity</v>
      </c>
      <c r="D80" s="7" t="str">
        <f>IFERROR(__xludf.DUMMYFUNCTION("AI(""translate product desptions in column B to Igbo"")"),"Nrụpụta ihuenyo abụọ ọhụrụ maka ịrụ ọtụtụ ọrụ n'otu mgbe n'enweghị nsogbu na mmepụta ihe.")</f>
        <v>Nrụpụta ihuenyo abụọ ọhụrụ maka ịrụ ọtụtụ ọrụ n'otu mgbe n'enweghị nsogbu na mmepụta ihe.</v>
      </c>
      <c r="E80" s="5" t="s">
        <v>198</v>
      </c>
      <c r="F80" s="5">
        <v>1799.99</v>
      </c>
      <c r="G80" s="5">
        <v>11.14</v>
      </c>
      <c r="H80" s="5">
        <v>3.95</v>
      </c>
      <c r="I80" s="5">
        <v>45.0</v>
      </c>
      <c r="J80" s="5" t="s">
        <v>201</v>
      </c>
      <c r="K80" s="5" t="s">
        <v>202</v>
      </c>
      <c r="L80" s="5">
        <v>9.0</v>
      </c>
      <c r="M80" s="5" t="s">
        <v>44</v>
      </c>
      <c r="N80" s="5" t="s">
        <v>62</v>
      </c>
      <c r="O80" s="5" t="s">
        <v>28</v>
      </c>
      <c r="P80" s="5" t="str">
        <f>IFERROR(__xludf.DUMMYFUNCTION("AI(""Extract and delete ratings from Column P2:P101"")"),"4, 5, 4")</f>
        <v>4, 5, 4</v>
      </c>
      <c r="Q80" s="5" t="str">
        <f>IFERROR(__xludf.DUMMYFUNCTION("AI(""Extract onlu Reviews in column P2:P101"")"),"- Very happy with my purchase\!
  - Highly recommended\!
  - Very satisfied\!")</f>
        <v>- Very happy with my purchase\!
  - Highly recommended\!
  - Very satisfied\!</v>
      </c>
      <c r="R80" s="5" t="str">
        <f>IFERROR(__xludf.DUMMYFUNCTION("AI(""Retain only date and time in column Q2:Q101 remove any unimportant information"")"),"2025-04-30 09:41:02")</f>
        <v>2025-04-30 09:41:02</v>
      </c>
      <c r="S80" s="7" t="str">
        <f>IFERROR(__xludf.DUMMYFUNCTION("AI(""Extract only emails from Column P2:P101"")"),"michael.johnson@x.dummyjson.com, zoe.bennett@x.dummyjson.com, mila.hernandez@x.dummyjson.com")</f>
        <v>michael.johnson@x.dummyjson.com, zoe.bennett@x.dummyjson.com, mila.hernandez@x.dummyjson.com</v>
      </c>
      <c r="T80" s="7" t="str">
        <f>IFERROR(__xludf.DUMMYFUNCTION("AI(""Analyse the consumers' reviews in Column Q2:Q101 using 2words"")"),"Very Positive")</f>
        <v>Very Positive</v>
      </c>
      <c r="U80" s="5" t="s">
        <v>35</v>
      </c>
      <c r="V80" s="5">
        <v>1.0</v>
      </c>
    </row>
    <row r="81" ht="22.5" customHeight="1">
      <c r="A81" s="5" t="s">
        <v>203</v>
      </c>
      <c r="B81" s="6" t="str">
        <f>IFERROR(__xludf.DUMMYFUNCTION("AI(""Generate catchy and well detailed product descriptions in 8words for the products in Column A"")"),"Sleek high performance laptop with stunning borderless display.")</f>
        <v>Sleek high performance laptop with stunning borderless display.</v>
      </c>
      <c r="C81" s="6" t="str">
        <f>IFERROR(__xludf.DUMMYFUNCTION("AI(""Generate brief summary for the product descriptions in columnB using 3 keywords"")"),"Sleek, high-performance, borderless")</f>
        <v>Sleek, high-performance, borderless</v>
      </c>
      <c r="D81" s="7" t="str">
        <f>IFERROR(__xludf.DUMMYFUNCTION("AI(""translate product desptions in column B to Igbo"")"),"Laptọọpụ mara mma nke nwere oke ọrụ yana ihuenyo mara mma nke na-enweghị oke.")</f>
        <v>Laptọọpụ mara mma nke nwere oke ọrụ yana ihuenyo mara mma nke na-enweghị oke.</v>
      </c>
      <c r="E81" s="5" t="s">
        <v>198</v>
      </c>
      <c r="F81" s="5">
        <v>1399.99</v>
      </c>
      <c r="G81" s="5">
        <v>9.38</v>
      </c>
      <c r="H81" s="5">
        <v>4.98</v>
      </c>
      <c r="I81" s="5">
        <v>75.0</v>
      </c>
      <c r="J81" s="5" t="s">
        <v>201</v>
      </c>
      <c r="K81" s="5" t="s">
        <v>204</v>
      </c>
      <c r="L81" s="5">
        <v>9.0</v>
      </c>
      <c r="M81" s="5" t="s">
        <v>101</v>
      </c>
      <c r="N81" s="5" t="s">
        <v>50</v>
      </c>
      <c r="O81" s="5" t="s">
        <v>28</v>
      </c>
      <c r="P81" s="5" t="str">
        <f>IFERROR(__xludf.DUMMYFUNCTION("AI(""Extract and delete ratings from Column P2:P101"")"),"4, 4, 1")</f>
        <v>4, 4, 1</v>
      </c>
      <c r="Q81" s="5" t="str">
        <f>IFERROR(__xludf.DUMMYFUNCTION("AI(""Extract onlu Reviews in column P2:P101"")"),"- Very satisfied\!
  - Very happy with my purchase\!
  - Not worth the price\!")</f>
        <v>- Very satisfied\!
  - Very happy with my purchase\!
  - Not worth the price\!</v>
      </c>
      <c r="R81" s="5" t="str">
        <f>IFERROR(__xludf.DUMMYFUNCTION("AI(""Retain only date and time in column Q2:Q101 remove any unimportant information"")"),"2025-04-30 09:41:02")</f>
        <v>2025-04-30 09:41:02</v>
      </c>
      <c r="S81" s="7" t="str">
        <f>IFERROR(__xludf.DUMMYFUNCTION("AI(""Extract only emails from Column P2:P101"")"),"evan.wright@x.dummyjson.com, hunter.gordon@x.dummyjson.com, william.gonzalez@x.dummyjson.com")</f>
        <v>evan.wright@x.dummyjson.com, hunter.gordon@x.dummyjson.com, william.gonzalez@x.dummyjson.com</v>
      </c>
      <c r="T81" s="7" t="str">
        <f>IFERROR(__xludf.DUMMYFUNCTION("AI(""Analyse the consumers' reviews in Column Q2:Q101 using 2words"")"),"Highly positive")</f>
        <v>Highly positive</v>
      </c>
      <c r="U81" s="5" t="s">
        <v>82</v>
      </c>
      <c r="V81" s="5">
        <v>1.0</v>
      </c>
    </row>
    <row r="82" ht="22.5" customHeight="1">
      <c r="A82" s="5" t="s">
        <v>205</v>
      </c>
      <c r="B82" s="6" t="str">
        <f>IFERROR(__xludf.DUMMYFUNCTION("AI(""Generate catchy and well detailed product descriptions in 8words for the products in Column A"")"),"Versatile high performance laptop designed for ultimate productivity.")</f>
        <v>Versatile high performance laptop designed for ultimate productivity.</v>
      </c>
      <c r="C82" s="6" t="str">
        <f>IFERROR(__xludf.DUMMYFUNCTION("AI(""Generate brief summary for the product descriptions in columnB using 3 keywords"")"),"Versatile, sleek, powerful")</f>
        <v>Versatile, sleek, powerful</v>
      </c>
      <c r="D82" s="7" t="str">
        <f>IFERROR(__xludf.DUMMYFUNCTION("AI(""translate product desptions in column B to Igbo"")"),"Laptọọpụ arụmọrụ dị elu nwere ike ịrụ ọtụtụ ihe emere maka mmepụta kachasị elu.")</f>
        <v>Laptọọpụ arụmọrụ dị elu nwere ike ịrụ ọtụtụ ihe emere maka mmepụta kachasị elu.</v>
      </c>
      <c r="E82" s="5" t="s">
        <v>198</v>
      </c>
      <c r="F82" s="5">
        <v>1099.99</v>
      </c>
      <c r="G82" s="5">
        <v>6.55</v>
      </c>
      <c r="H82" s="5">
        <v>2.86</v>
      </c>
      <c r="I82" s="5">
        <v>40.0</v>
      </c>
      <c r="J82" s="5" t="s">
        <v>201</v>
      </c>
      <c r="K82" s="5" t="s">
        <v>206</v>
      </c>
      <c r="L82" s="5">
        <v>9.0</v>
      </c>
      <c r="M82" s="5" t="s">
        <v>66</v>
      </c>
      <c r="N82" s="5" t="s">
        <v>34</v>
      </c>
      <c r="O82" s="5" t="s">
        <v>28</v>
      </c>
      <c r="P82" s="5" t="str">
        <f>IFERROR(__xludf.DUMMYFUNCTION("AI(""Extract and delete ratings from Column P2:P101"")"),"4, 5, 4")</f>
        <v>4, 5, 4</v>
      </c>
      <c r="Q82" s="5" t="str">
        <f>IFERROR(__xludf.DUMMYFUNCTION("AI(""Extract onlu Reviews in column P2:P101"")"),"- Would buy again\!
  - Great value for money\!
  - Great value for money\!")</f>
        <v>- Would buy again\!
  - Great value for money\!
  - Great value for money\!</v>
      </c>
      <c r="R82" s="5" t="str">
        <f>IFERROR(__xludf.DUMMYFUNCTION("AI(""Retain only date and time in column Q2:Q101 remove any unimportant information"")"),"2025-04-30 09:41:02")</f>
        <v>2025-04-30 09:41:02</v>
      </c>
      <c r="S82" s="7" t="str">
        <f>IFERROR(__xludf.DUMMYFUNCTION("AI(""Extract only emails from Column P2:P101"")"),"bella.gonzalez@x.dummyjson.com, nathan.reed@x.dummyjson.com, hazel.gardner@x.dummyjson.com")</f>
        <v>bella.gonzalez@x.dummyjson.com, nathan.reed@x.dummyjson.com, hazel.gardner@x.dummyjson.com</v>
      </c>
      <c r="T82" s="7" t="str">
        <f>IFERROR(__xludf.DUMMYFUNCTION("AI(""Analyse the consumers' reviews in Column Q2:Q101 using 2words"")"),"Mixed feedback")</f>
        <v>Mixed feedback</v>
      </c>
      <c r="U82" s="5" t="s">
        <v>29</v>
      </c>
      <c r="V82" s="5">
        <v>1.0</v>
      </c>
    </row>
    <row r="83" ht="22.5" customHeight="1">
      <c r="A83" s="5" t="s">
        <v>207</v>
      </c>
      <c r="B83" s="6" t="str">
        <f>IFERROR(__xludf.DUMMYFUNCTION("AI(""Generate catchy and well detailed product descriptions in 8words for the products in Column A"")"),"Sleek ultraportable powerhouse featuring stunning bezel-less InfinityEdge display.")</f>
        <v>Sleek ultraportable powerhouse featuring stunning bezel-less InfinityEdge display.</v>
      </c>
      <c r="C83" s="6" t="str">
        <f>IFERROR(__xludf.DUMMYFUNCTION("AI(""Generate brief summary for the product descriptions in columnB using 3 keywords"")"),"Compact, powerful, sleek")</f>
        <v>Compact, powerful, sleek</v>
      </c>
      <c r="D83" s="7" t="str">
        <f>IFERROR(__xludf.DUMMYFUNCTION("AI(""translate product desptions in column B to Igbo"")"),"Igwe dị gịrịgịrị, dị mfe ibugharị na nke nwere ike ọrụ pụrụ iche nwere ihuenyo InfinityEdge mara mma nke na-enweghị bezel.")</f>
        <v>Igwe dị gịrịgịrị, dị mfe ibugharị na nke nwere ike ọrụ pụrụ iche nwere ihuenyo InfinityEdge mara mma nke na-enweghị bezel.</v>
      </c>
      <c r="E83" s="5" t="s">
        <v>198</v>
      </c>
      <c r="F83" s="5">
        <v>1499.99</v>
      </c>
      <c r="G83" s="5">
        <v>11.89</v>
      </c>
      <c r="H83" s="5">
        <v>2.67</v>
      </c>
      <c r="I83" s="5">
        <v>74.0</v>
      </c>
      <c r="J83" s="5" t="s">
        <v>201</v>
      </c>
      <c r="K83" s="5" t="s">
        <v>208</v>
      </c>
      <c r="L83" s="5">
        <v>2.0</v>
      </c>
      <c r="M83" s="5" t="s">
        <v>81</v>
      </c>
      <c r="N83" s="5" t="s">
        <v>34</v>
      </c>
      <c r="O83" s="5" t="s">
        <v>28</v>
      </c>
      <c r="P83" s="5" t="str">
        <f>IFERROR(__xludf.DUMMYFUNCTION("AI(""Extract and delete ratings from Column P2:P101"")"),"3, 4, 2")</f>
        <v>3, 4, 2</v>
      </c>
      <c r="Q83" s="5" t="str">
        <f>IFERROR(__xludf.DUMMYFUNCTION("AI(""Extract onlu Reviews in column P2:P101"")"),"- Poor quality\!
  - Very satisfied\!
  - Disappointing product\!")</f>
        <v>- Poor quality\!
  - Very satisfied\!
  - Disappointing product\!</v>
      </c>
      <c r="R83" s="5" t="str">
        <f>IFERROR(__xludf.DUMMYFUNCTION("AI(""Retain only date and time in column Q2:Q101 remove any unimportant information"")"),"2025-04-30 09:41:02")</f>
        <v>2025-04-30 09:41:02</v>
      </c>
      <c r="S83" s="7" t="str">
        <f>IFERROR(__xludf.DUMMYFUNCTION("AI(""Extract only emails from Column P2:P101"")"),"charlotte.lopez@x.dummyjson.com, alice.smith@x.dummyjson.com, ava.taylor@x.dummyjson.com")</f>
        <v>charlotte.lopez@x.dummyjson.com, alice.smith@x.dummyjson.com, ava.taylor@x.dummyjson.com</v>
      </c>
      <c r="T83" s="7" t="str">
        <f>IFERROR(__xludf.DUMMYFUNCTION("AI(""Analyse the consumers' reviews in Column Q2:Q101 using 2words"")"),"Mixed feedback")</f>
        <v>Mixed feedback</v>
      </c>
      <c r="U83" s="5" t="s">
        <v>82</v>
      </c>
      <c r="V83" s="5">
        <v>1.0</v>
      </c>
    </row>
    <row r="84" ht="22.5" customHeight="1">
      <c r="A84" s="5" t="s">
        <v>209</v>
      </c>
      <c r="B84" s="6" t="str">
        <f>IFERROR(__xludf.DUMMYFUNCTION("AI(""Generate catchy and well detailed product descriptions in 8words for the products in Column A"")"),"Classic blue and black checkered shirt for men.")</f>
        <v>Classic blue and black checkered shirt for men.</v>
      </c>
      <c r="C84" s="6" t="str">
        <f>IFERROR(__xludf.DUMMYFUNCTION("AI(""Generate brief summary for the product descriptions in columnB using 3 keywords"")"),"Stylish, checkered, fashion")</f>
        <v>Stylish, checkered, fashion</v>
      </c>
      <c r="D84" s="7" t="str">
        <f>IFERROR(__xludf.DUMMYFUNCTION("AI(""translate product desptions in column B to Igbo"")"),"Uwe elu checkered na-acha anụnụ anụnụ na oji maka ụmụ nwoke.")</f>
        <v>Uwe elu checkered na-acha anụnụ anụnụ na oji maka ụmụ nwoke.</v>
      </c>
      <c r="E84" s="5" t="s">
        <v>210</v>
      </c>
      <c r="F84" s="5">
        <v>29.99</v>
      </c>
      <c r="G84" s="5">
        <v>15.35</v>
      </c>
      <c r="H84" s="5">
        <v>3.64</v>
      </c>
      <c r="I84" s="5">
        <v>38.0</v>
      </c>
      <c r="J84" s="5" t="s">
        <v>211</v>
      </c>
      <c r="K84" s="5" t="s">
        <v>212</v>
      </c>
      <c r="L84" s="5">
        <v>4.0</v>
      </c>
      <c r="M84" s="5" t="s">
        <v>44</v>
      </c>
      <c r="N84" s="5" t="s">
        <v>27</v>
      </c>
      <c r="O84" s="5" t="s">
        <v>28</v>
      </c>
      <c r="P84" s="5" t="str">
        <f>IFERROR(__xludf.DUMMYFUNCTION("AI(""Extract and delete ratings from Column P2:P101"")"),"1, 5, 4")</f>
        <v>1, 5, 4</v>
      </c>
      <c r="Q84" s="5" t="str">
        <f>IFERROR(__xludf.DUMMYFUNCTION("AI(""Extract onlu Reviews in column P2:P101"")"),"- Waste of money\!
  - Very satisfied\!
  - Fast shipping\!")</f>
        <v>- Waste of money\!
  - Very satisfied\!
  - Fast shipping\!</v>
      </c>
      <c r="R84" s="5" t="str">
        <f>IFERROR(__xludf.DUMMYFUNCTION("AI(""Retain only date and time in column Q2:Q101 remove any unimportant information"")"),"2025-04-30 09:41:02")</f>
        <v>2025-04-30 09:41:02</v>
      </c>
      <c r="S84" s="7" t="str">
        <f>IFERROR(__xludf.DUMMYFUNCTION("AI(""Extract only emails from Column P2:P101"")"),"logan.lee@x.dummyjson.com, zachary.lee@x.dummyjson.com, aurora.rodriguez@x.dummyjson.com")</f>
        <v>logan.lee@x.dummyjson.com, zachary.lee@x.dummyjson.com, aurora.rodriguez@x.dummyjson.com</v>
      </c>
      <c r="T84" s="7" t="str">
        <f>IFERROR(__xludf.DUMMYFUNCTION("AI(""Analyse the consumers' reviews in Column Q2:Q101 using 2words"")"),"Mixed feedback")</f>
        <v>Mixed feedback</v>
      </c>
      <c r="U84" s="5" t="s">
        <v>96</v>
      </c>
      <c r="V84" s="5">
        <v>18.0</v>
      </c>
    </row>
    <row r="85" ht="22.5" customHeight="1">
      <c r="A85" s="5" t="s">
        <v>213</v>
      </c>
      <c r="B85" s="6" t="str">
        <f>IFERROR(__xludf.DUMMYFUNCTION("AI(""Generate catchy and well detailed product descriptions in 8words for the products in Column A"")"),"Premium Gigabyte Aorus tee for ultimate gamer style.")</f>
        <v>Premium Gigabyte Aorus tee for ultimate gamer style.</v>
      </c>
      <c r="C85" s="6" t="str">
        <f>IFERROR(__xludf.DUMMYFUNCTION("AI(""Generate brief summary for the product descriptions in columnB using 3 keywords"")"),"Comfortable, branded, stylish")</f>
        <v>Comfortable, branded, stylish</v>
      </c>
      <c r="D85" s="7" t="str">
        <f>IFERROR(__xludf.DUMMYFUNCTION("AI(""translate product desptions in column B to Igbo"")"),"Uwe Gigabyte Aorus pụrụ iche maka ụdị onye na-egwu egwuregwu kachasị mma.")</f>
        <v>Uwe Gigabyte Aorus pụrụ iche maka ụdị onye na-egwu egwuregwu kachasị mma.</v>
      </c>
      <c r="E85" s="5" t="s">
        <v>210</v>
      </c>
      <c r="F85" s="5">
        <v>24.99</v>
      </c>
      <c r="G85" s="5">
        <v>0.94</v>
      </c>
      <c r="H85" s="5">
        <v>3.18</v>
      </c>
      <c r="I85" s="5">
        <v>90.0</v>
      </c>
      <c r="J85" s="5" t="s">
        <v>214</v>
      </c>
      <c r="K85" s="5" t="s">
        <v>215</v>
      </c>
      <c r="L85" s="5">
        <v>4.0</v>
      </c>
      <c r="M85" s="5" t="s">
        <v>44</v>
      </c>
      <c r="N85" s="5" t="s">
        <v>50</v>
      </c>
      <c r="O85" s="5" t="s">
        <v>28</v>
      </c>
      <c r="P85" s="5" t="str">
        <f>IFERROR(__xludf.DUMMYFUNCTION("AI(""Extract and delete ratings from Column P2:P101"")"),"5, 5, 1")</f>
        <v>5, 5, 1</v>
      </c>
      <c r="Q85" s="5" t="str">
        <f>IFERROR(__xludf.DUMMYFUNCTION("AI(""Extract onlu Reviews in column P2:P101"")"),"- Excellent quality\!
  - Awesome product\!
  - Disappointing product\!")</f>
        <v>- Excellent quality\!
  - Awesome product\!
  - Disappointing product\!</v>
      </c>
      <c r="R85" s="5" t="str">
        <f>IFERROR(__xludf.DUMMYFUNCTION("AI(""Retain only date and time in column Q2:Q101 remove any unimportant information"")"),"2025-04-30 09:41:02")</f>
        <v>2025-04-30 09:41:02</v>
      </c>
      <c r="S85" s="7" t="str">
        <f>IFERROR(__xludf.DUMMYFUNCTION("AI(""Extract only emails from Column P2:P101"")"),"amelia.perez@x.dummyjson.com, tyler.davis@x.dummyjson.com, harper.king@x.dummyjson.com")</f>
        <v>amelia.perez@x.dummyjson.com, tyler.davis@x.dummyjson.com, harper.king@x.dummyjson.com</v>
      </c>
      <c r="T85" s="7" t="str">
        <f>IFERROR(__xludf.DUMMYFUNCTION("AI(""Analyse the consumers' reviews in Column Q2:Q101 using 2words"")"),"Mixed feedback")</f>
        <v>Mixed feedback</v>
      </c>
      <c r="U85" s="5" t="s">
        <v>96</v>
      </c>
      <c r="V85" s="5">
        <v>16.0</v>
      </c>
    </row>
    <row r="86" ht="22.5" customHeight="1">
      <c r="A86" s="5" t="s">
        <v>216</v>
      </c>
      <c r="B86" s="6" t="str">
        <f>IFERROR(__xludf.DUMMYFUNCTION("AI(""Generate catchy and well detailed product descriptions in 8words for the products in Column A"")"),"Classic plaid shirt for everyday comfort and style.")</f>
        <v>Classic plaid shirt for everyday comfort and style.</v>
      </c>
      <c r="C86" s="6" t="str">
        <f>IFERROR(__xludf.DUMMYFUNCTION("AI(""Generate brief summary for the product descriptions in columnB using 3 keywords"")"),"Classic, plaid, comfortable")</f>
        <v>Classic, plaid, comfortable</v>
      </c>
      <c r="D86" s="7" t="str">
        <f>IFERROR(__xludf.DUMMYFUNCTION("AI(""translate product desptions in column B to Igbo"")"),"Uwe elu plaid mara mma maka ntụsara ahụ na ejiji kwa ụbọchị.")</f>
        <v>Uwe elu plaid mara mma maka ntụsara ahụ na ejiji kwa ụbọchị.</v>
      </c>
      <c r="E86" s="5" t="s">
        <v>210</v>
      </c>
      <c r="F86" s="5">
        <v>34.99</v>
      </c>
      <c r="G86" s="5">
        <v>19.5</v>
      </c>
      <c r="H86" s="5">
        <v>3.46</v>
      </c>
      <c r="I86" s="5">
        <v>82.0</v>
      </c>
      <c r="J86" s="5" t="s">
        <v>211</v>
      </c>
      <c r="K86" s="5" t="s">
        <v>217</v>
      </c>
      <c r="L86" s="5">
        <v>3.0</v>
      </c>
      <c r="M86" s="5" t="s">
        <v>26</v>
      </c>
      <c r="N86" s="5" t="s">
        <v>40</v>
      </c>
      <c r="O86" s="5" t="s">
        <v>28</v>
      </c>
      <c r="P86" s="5" t="str">
        <f>IFERROR(__xludf.DUMMYFUNCTION("AI(""Extract and delete ratings from Column P2:P101"")"),"3, 4, 2")</f>
        <v>3, 4, 2</v>
      </c>
      <c r="Q86" s="5" t="str">
        <f>IFERROR(__xludf.DUMMYFUNCTION("AI(""Extract onlu Reviews in column P2:P101"")"),"- Disappointing product\!
  - Awesome product\!
  - Very disappointed\!")</f>
        <v>- Disappointing product\!
  - Awesome product\!
  - Very disappointed\!</v>
      </c>
      <c r="R86" s="5" t="str">
        <f>IFERROR(__xludf.DUMMYFUNCTION("AI(""Retain only date and time in column Q2:Q101 remove any unimportant information"")"),"2025-04-30 09:41:02")</f>
        <v>2025-04-30 09:41:02</v>
      </c>
      <c r="S86" s="7" t="str">
        <f>IFERROR(__xludf.DUMMYFUNCTION("AI(""Extract only emails from Column P2:P101"")"),"aubrey.wagner@x.dummyjson.com, evan.reed@x.dummyjson.com, evelyn.gonzalez@x.dummyjson.com")</f>
        <v>aubrey.wagner@x.dummyjson.com, evan.reed@x.dummyjson.com, evelyn.gonzalez@x.dummyjson.com</v>
      </c>
      <c r="T86" s="7" t="str">
        <f>IFERROR(__xludf.DUMMYFUNCTION("AI(""Analyse the consumers' reviews in Column Q2:Q101 using 2words"")"),"Mixed feedback")</f>
        <v>Mixed feedback</v>
      </c>
      <c r="U86" s="5" t="s">
        <v>35</v>
      </c>
      <c r="V86" s="5">
        <v>13.0</v>
      </c>
    </row>
    <row r="87" ht="22.5" customHeight="1">
      <c r="A87" s="5" t="s">
        <v>218</v>
      </c>
      <c r="B87" s="6" t="str">
        <f>IFERROR(__xludf.DUMMYFUNCTION("AI(""Generate catchy and well detailed product descriptions in 8words for the products in Column A"")"),"Breathable cotton shirt offering ultimate casual comfort daily.")</f>
        <v>Breathable cotton shirt offering ultimate casual comfort daily.</v>
      </c>
      <c r="C87" s="6" t="str">
        <f>IFERROR(__xludf.DUMMYFUNCTION("AI(""Generate brief summary for the product descriptions in columnB using 3 keywords"")"),"Casual, comfortable, short-sleeved")</f>
        <v>Casual, comfortable, short-sleeved</v>
      </c>
      <c r="D87" s="7" t="str">
        <f>IFERROR(__xludf.DUMMYFUNCTION("AI(""translate product desptions in column B to Igbo"")"),"Uwe elu nwere aka mkpụmkpụ nwere ikuku maka nkasi obi kwa ụbọchị.")</f>
        <v>Uwe elu nwere aka mkpụmkpụ nwere ikuku maka nkasi obi kwa ụbọchị.</v>
      </c>
      <c r="E87" s="5" t="s">
        <v>210</v>
      </c>
      <c r="F87" s="5">
        <v>19.99</v>
      </c>
      <c r="G87" s="5">
        <v>6.83</v>
      </c>
      <c r="H87" s="5">
        <v>2.9</v>
      </c>
      <c r="I87" s="5">
        <v>2.0</v>
      </c>
      <c r="J87" s="5" t="s">
        <v>211</v>
      </c>
      <c r="K87" s="5" t="s">
        <v>219</v>
      </c>
      <c r="L87" s="5">
        <v>2.0</v>
      </c>
      <c r="M87" s="5" t="s">
        <v>44</v>
      </c>
      <c r="N87" s="5" t="s">
        <v>34</v>
      </c>
      <c r="O87" s="5" t="s">
        <v>63</v>
      </c>
      <c r="P87" s="5" t="str">
        <f>IFERROR(__xludf.DUMMYFUNCTION("AI(""Extract and delete ratings from Column P2:P101"")"),"5, 2, 1")</f>
        <v>5, 2, 1</v>
      </c>
      <c r="Q87" s="5" t="str">
        <f>IFERROR(__xludf.DUMMYFUNCTION("AI(""Extract onlu Reviews in column P2:P101"")"),"- Highly recommended\!
  - Poor quality\!
  - Would not recommend\!")</f>
        <v>- Highly recommended\!
  - Poor quality\!
  - Would not recommend\!</v>
      </c>
      <c r="R87" s="5" t="str">
        <f>IFERROR(__xludf.DUMMYFUNCTION("AI(""Retain only date and time in column Q2:Q101 remove any unimportant information"")"),"2025-04-30 09:41:02")</f>
        <v>2025-04-30 09:41:02</v>
      </c>
      <c r="S87" s="7" t="str">
        <f>IFERROR(__xludf.DUMMYFUNCTION("AI(""Extract only emails from Column P2:P101"")"),"charlotte.lopez@x.dummyjson.com, ellie.stewart@x.dummyjson.com, sadie.morales@x.dummyjson.com")</f>
        <v>charlotte.lopez@x.dummyjson.com, ellie.stewart@x.dummyjson.com, sadie.morales@x.dummyjson.com</v>
      </c>
      <c r="T87" s="7" t="str">
        <f>IFERROR(__xludf.DUMMYFUNCTION("AI(""Analyse the consumers' reviews in Column Q2:Q101 using 2words"")"),"Mixed Feedback")</f>
        <v>Mixed Feedback</v>
      </c>
      <c r="U87" s="5" t="s">
        <v>96</v>
      </c>
      <c r="V87" s="5">
        <v>4.0</v>
      </c>
    </row>
    <row r="88" ht="22.5" customHeight="1">
      <c r="A88" s="5" t="s">
        <v>220</v>
      </c>
      <c r="B88" s="6" t="str">
        <f>IFERROR(__xludf.DUMMYFUNCTION("AI(""Generate catchy and well detailed product descriptions in 8words for the products in Column A"")"),"Stylish check shirt for men, perfect everyday wear.")</f>
        <v>Stylish check shirt for men, perfect everyday wear.</v>
      </c>
      <c r="C88" s="6" t="str">
        <f>IFERROR(__xludf.DUMMYFUNCTION("AI(""Generate brief summary for the product descriptions in columnB using 3 keywords"")"),"Stylish, checkered, comfortable")</f>
        <v>Stylish, checkered, comfortable</v>
      </c>
      <c r="D88" s="7" t="str">
        <f>IFERROR(__xludf.DUMMYFUNCTION("AI(""translate product desptions in column B to Igbo"")"),"Uwe elu check mara mma maka ụmụ nwoke, nke kacha mma maka eyi kwa ụbọchị.")</f>
        <v>Uwe elu check mara mma maka ụmụ nwoke, nke kacha mma maka eyi kwa ụbọchị.</v>
      </c>
      <c r="E88" s="5" t="s">
        <v>210</v>
      </c>
      <c r="F88" s="5">
        <v>27.99</v>
      </c>
      <c r="G88" s="5">
        <v>11.38</v>
      </c>
      <c r="H88" s="5">
        <v>2.72</v>
      </c>
      <c r="I88" s="5">
        <v>95.0</v>
      </c>
      <c r="J88" s="5" t="s">
        <v>211</v>
      </c>
      <c r="K88" s="5" t="s">
        <v>221</v>
      </c>
      <c r="L88" s="5">
        <v>10.0</v>
      </c>
      <c r="M88" s="5" t="s">
        <v>101</v>
      </c>
      <c r="N88" s="5" t="s">
        <v>40</v>
      </c>
      <c r="O88" s="5" t="s">
        <v>28</v>
      </c>
      <c r="P88" s="5" t="str">
        <f>IFERROR(__xludf.DUMMYFUNCTION("AI(""Extract and delete ratings from Column P2:P101"")"),"3, 5, 2")</f>
        <v>3, 5, 2</v>
      </c>
      <c r="Q88" s="5" t="str">
        <f>IFERROR(__xludf.DUMMYFUNCTION("AI(""Extract onlu Reviews in column P2:P101"")"),"- Would not recommend\!
  - Fast shipping\!
  - Very unhappy with my purchase\!")</f>
        <v>- Would not recommend\!
  - Fast shipping\!
  - Very unhappy with my purchase\!</v>
      </c>
      <c r="R88" s="5" t="str">
        <f>IFERROR(__xludf.DUMMYFUNCTION("AI(""Retain only date and time in column Q2:Q101 remove any unimportant information"")"),"2025-04-30 09:41:02")</f>
        <v>2025-04-30 09:41:02</v>
      </c>
      <c r="S88" s="7" t="str">
        <f>IFERROR(__xludf.DUMMYFUNCTION("AI(""Extract only emails from Column P2:P101"")"),"mateo.nguyen@x.dummyjson.com, lucas.allen@x.dummyjson.com, henry.adams@x.dummyjson.com")</f>
        <v>mateo.nguyen@x.dummyjson.com, lucas.allen@x.dummyjson.com, henry.adams@x.dummyjson.com</v>
      </c>
      <c r="T88" s="7" t="str">
        <f>IFERROR(__xludf.DUMMYFUNCTION("AI(""Analyse the consumers' reviews in Column Q2:Q101 using 2words"")"),"Mixed feedback")</f>
        <v>Mixed feedback</v>
      </c>
      <c r="U88" s="5" t="s">
        <v>96</v>
      </c>
      <c r="V88" s="5">
        <v>12.0</v>
      </c>
    </row>
    <row r="89" ht="22.5" customHeight="1">
      <c r="A89" s="5" t="s">
        <v>222</v>
      </c>
      <c r="B89" s="6" t="str">
        <f>IFERROR(__xludf.DUMMYFUNCTION("AI(""Generate catchy and well detailed product descriptions in 8words for the products in Column A"")"),"Iconic red and black sneakers for ultimate style.")</f>
        <v>Iconic red and black sneakers for ultimate style.</v>
      </c>
      <c r="C89" s="6" t="str">
        <f>IFERROR(__xludf.DUMMYFUNCTION("AI(""Generate brief summary for the product descriptions in columnB using 3 keywords"")"),"Iconic, athletic, leather")</f>
        <v>Iconic, athletic, leather</v>
      </c>
      <c r="D89" s="7" t="str">
        <f>IFERROR(__xludf.DUMMYFUNCTION("AI(""translate product desptions in column B to Igbo"")"),"Nike Air Jordan 1 Uhie na Ojii")</f>
        <v>Nike Air Jordan 1 Uhie na Ojii</v>
      </c>
      <c r="E89" s="5" t="s">
        <v>223</v>
      </c>
      <c r="F89" s="5">
        <v>149.99</v>
      </c>
      <c r="G89" s="5">
        <v>4.12</v>
      </c>
      <c r="H89" s="5">
        <v>4.77</v>
      </c>
      <c r="I89" s="5">
        <v>7.0</v>
      </c>
      <c r="J89" s="5" t="s">
        <v>224</v>
      </c>
      <c r="K89" s="5" t="s">
        <v>225</v>
      </c>
      <c r="L89" s="5">
        <v>3.0</v>
      </c>
      <c r="M89" s="5" t="s">
        <v>33</v>
      </c>
      <c r="N89" s="5" t="s">
        <v>45</v>
      </c>
      <c r="O89" s="5" t="s">
        <v>28</v>
      </c>
      <c r="P89" s="5" t="str">
        <f>IFERROR(__xludf.DUMMYFUNCTION("AI(""Extract and delete ratings from Column P2:P101"")"),"5, 4, 1")</f>
        <v>5, 4, 1</v>
      </c>
      <c r="Q89" s="5" t="str">
        <f>IFERROR(__xludf.DUMMYFUNCTION("AI(""Extract onlu Reviews in column P2:P101"")"),"- Highly impressed\!
  - Very happy with my purchase\!
  - Waste of money\!")</f>
        <v>- Highly impressed\!
  - Very happy with my purchase\!
  - Waste of money\!</v>
      </c>
      <c r="R89" s="5" t="str">
        <f>IFERROR(__xludf.DUMMYFUNCTION("AI(""Retain only date and time in column Q2:Q101 remove any unimportant information"")"),"2025-04-30 09:41:02")</f>
        <v>2025-04-30 09:41:02</v>
      </c>
      <c r="S89" s="7" t="str">
        <f>IFERROR(__xludf.DUMMYFUNCTION("AI(""Extract only emails from Column P2:P101"")"),"elena.long@x.dummyjson.com, addison.wright@x.dummyjson.com, mason.wright@x.dummyjson.com")</f>
        <v>elena.long@x.dummyjson.com, addison.wright@x.dummyjson.com, mason.wright@x.dummyjson.com</v>
      </c>
      <c r="T89" s="7" t="str">
        <f>IFERROR(__xludf.DUMMYFUNCTION("AI(""Analyse the consumers' reviews in Column Q2:Q101 using 2words"")"),"Highly Positive")</f>
        <v>Highly Positive</v>
      </c>
      <c r="U89" s="5" t="s">
        <v>29</v>
      </c>
      <c r="V89" s="5">
        <v>1.0</v>
      </c>
    </row>
    <row r="90" ht="22.5" customHeight="1">
      <c r="A90" s="5" t="s">
        <v>226</v>
      </c>
      <c r="B90" s="6" t="str">
        <f>IFERROR(__xludf.DUMMYFUNCTION("AI(""Generate catchy and well detailed product descriptions in 8words for the products in Column A"")"),"High performance Nike cleats for ultimate diamond dominance.")</f>
        <v>High performance Nike cleats for ultimate diamond dominance.</v>
      </c>
      <c r="C90" s="6" t="str">
        <f>IFERROR(__xludf.DUMMYFUNCTION("AI(""Generate brief summary for the product descriptions in columnB using 3 keywords"")"),"Athletic, performance, traction")</f>
        <v>Athletic, performance, traction</v>
      </c>
      <c r="D90" s="7" t="str">
        <f>IFERROR(__xludf.DUMMYFUNCTION("AI(""translate product desptions in column B to Igbo"")"),"Akpụkpọ ụkwụ baseball na-adịgide adịgide ma dị mma maka ịrụ ọrụ kachasị mma n'egwuregwu.")</f>
        <v>Akpụkpọ ụkwụ baseball na-adịgide adịgide ma dị mma maka ịrụ ọrụ kachasị mma n'egwuregwu.</v>
      </c>
      <c r="E90" s="5" t="s">
        <v>223</v>
      </c>
      <c r="F90" s="5">
        <v>79.99</v>
      </c>
      <c r="G90" s="5">
        <v>18.04</v>
      </c>
      <c r="H90" s="5">
        <v>3.88</v>
      </c>
      <c r="I90" s="5">
        <v>12.0</v>
      </c>
      <c r="J90" s="5" t="s">
        <v>227</v>
      </c>
      <c r="K90" s="5" t="s">
        <v>225</v>
      </c>
      <c r="L90" s="5">
        <v>9.0</v>
      </c>
      <c r="M90" s="5" t="s">
        <v>66</v>
      </c>
      <c r="N90" s="5" t="s">
        <v>34</v>
      </c>
      <c r="O90" s="5" t="s">
        <v>28</v>
      </c>
      <c r="P90" s="5" t="str">
        <f>IFERROR(__xludf.DUMMYFUNCTION("AI(""Extract and delete ratings from Column P2:P101"")"),"5, 2, 3")</f>
        <v>5, 2, 3</v>
      </c>
      <c r="Q90" s="5" t="str">
        <f>IFERROR(__xludf.DUMMYFUNCTION("AI(""Extract onlu Reviews in column P2:P101"")"),"- Would buy again\!
  - Very disappointed\!
  - Would not recommend\!")</f>
        <v>- Would buy again\!
  - Very disappointed\!
  - Would not recommend\!</v>
      </c>
      <c r="R90" s="5" t="str">
        <f>IFERROR(__xludf.DUMMYFUNCTION("AI(""Retain only date and time in column Q2:Q101 remove any unimportant information"")"),"2025-04-30 09:41:02")</f>
        <v>2025-04-30 09:41:02</v>
      </c>
      <c r="S90" s="7" t="str">
        <f>IFERROR(__xludf.DUMMYFUNCTION("AI(""Extract only emails from Column P2:P101"")"),"aaron.cook@x.dummyjson.com, noah.lewis@x.dummyjson.com, michael.johnson@x.dummyjson.com")</f>
        <v>aaron.cook@x.dummyjson.com, noah.lewis@x.dummyjson.com, michael.johnson@x.dummyjson.com</v>
      </c>
      <c r="T90" s="7" t="str">
        <f>IFERROR(__xludf.DUMMYFUNCTION("AI(""Analyse the consumers' reviews in Column Q2:Q101 using 2words"")"),"Mixed feedback")</f>
        <v>Mixed feedback</v>
      </c>
      <c r="U90" s="5" t="s">
        <v>29</v>
      </c>
      <c r="V90" s="5">
        <v>3.0</v>
      </c>
    </row>
    <row r="91" ht="22.5" customHeight="1">
      <c r="A91" s="5" t="s">
        <v>228</v>
      </c>
      <c r="B91" s="6" t="str">
        <f>IFERROR(__xludf.DUMMYFUNCTION("AI(""Generate catchy and well detailed product descriptions in 8words for the products in Column A"")"),"Vibrant retro trainers perfect for your everyday style.")</f>
        <v>Vibrant retro trainers perfect for your everyday style.</v>
      </c>
      <c r="C91" s="6" t="str">
        <f>IFERROR(__xludf.DUMMYFUNCTION("AI(""Generate brief summary for the product descriptions in columnB using 3 keywords"")"),"Retro, comfortable, casual")</f>
        <v>Retro, comfortable, casual</v>
      </c>
      <c r="D91" s="7" t="str">
        <f>IFERROR(__xludf.DUMMYFUNCTION("AI(""translate product desptions in column B to Igbo"")"),"Akpụkpọ ụkwụ Puma Future Rider trainers mara mma maka ijegharị na nkasi obi.")</f>
        <v>Akpụkpọ ụkwụ Puma Future Rider trainers mara mma maka ijegharị na nkasi obi.</v>
      </c>
      <c r="E91" s="5" t="s">
        <v>223</v>
      </c>
      <c r="F91" s="5">
        <v>89.99</v>
      </c>
      <c r="G91" s="5">
        <v>4.2</v>
      </c>
      <c r="H91" s="5">
        <v>4.9</v>
      </c>
      <c r="I91" s="5">
        <v>90.0</v>
      </c>
      <c r="J91" s="5" t="s">
        <v>229</v>
      </c>
      <c r="K91" s="5" t="s">
        <v>230</v>
      </c>
      <c r="L91" s="5">
        <v>6.0</v>
      </c>
      <c r="M91" s="5" t="s">
        <v>77</v>
      </c>
      <c r="N91" s="5" t="s">
        <v>40</v>
      </c>
      <c r="O91" s="5" t="s">
        <v>28</v>
      </c>
      <c r="P91" s="5" t="str">
        <f>IFERROR(__xludf.DUMMYFUNCTION("AI(""Extract and delete ratings from Column P2:P101"")"),"5, 1, 5")</f>
        <v>5, 1, 5</v>
      </c>
      <c r="Q91" s="5" t="str">
        <f>IFERROR(__xludf.DUMMYFUNCTION("AI(""Extract onlu Reviews in column P2:P101"")"),"- Highly impressed\!
  - Very disappointed\!
  - Very pleased\!")</f>
        <v>- Highly impressed\!
  - Very disappointed\!
  - Very pleased\!</v>
      </c>
      <c r="R91" s="5" t="str">
        <f>IFERROR(__xludf.DUMMYFUNCTION("AI(""Retain only date and time in column Q2:Q101 remove any unimportant information"")"),"2025-04-30 09:41:02")</f>
        <v>2025-04-30 09:41:02</v>
      </c>
      <c r="S91" s="7" t="str">
        <f>IFERROR(__xludf.DUMMYFUNCTION("AI(""Extract only emails from Column P2:P101"")"),"jackson.morales@x.dummyjson.com, sophia.jones@x.dummyjson.com, logan.torres@x.dummyjson.com")</f>
        <v>jackson.morales@x.dummyjson.com, sophia.jones@x.dummyjson.com, logan.torres@x.dummyjson.com</v>
      </c>
      <c r="T91" s="7" t="str">
        <f>IFERROR(__xludf.DUMMYFUNCTION("AI(""Analyse the consumers' reviews in Column Q2:Q101 using 2words"")"),"Highly positive")</f>
        <v>Highly positive</v>
      </c>
      <c r="U91" s="5" t="s">
        <v>55</v>
      </c>
      <c r="V91" s="5">
        <v>10.0</v>
      </c>
    </row>
    <row r="92" ht="22.5" customHeight="1">
      <c r="A92" s="5" t="s">
        <v>231</v>
      </c>
      <c r="B92" s="6" t="str">
        <f>IFERROR(__xludf.DUMMYFUNCTION("AI(""Generate catchy and well detailed product descriptions in 8words for the products in Column A"")"),"Stylish Off White sneakers featuring vibrant red accents.")</f>
        <v>Stylish Off White sneakers featuring vibrant red accents.</v>
      </c>
      <c r="C92" s="6" t="str">
        <f>IFERROR(__xludf.DUMMYFUNCTION("AI(""Generate brief summary for the product descriptions in columnB using 3 keywords"")"),"Athletic, Comfortable, Stylish")</f>
        <v>Athletic, Comfortable, Stylish</v>
      </c>
      <c r="D92" s="7" t="str">
        <f>IFERROR(__xludf.DUMMYFUNCTION("AI(""translate product desptions in column B to Igbo"")"),"Achọpụtaghị m nkọwa ngwaahịa (product description) dị na kọlụm B maka ahịrị a na data ị nyere. Biko nye m ederede nkọwa ahụ ka m nwee ike ịsụgharị ya n'asụsụ Igbo.")</f>
        <v>Achọpụtaghị m nkọwa ngwaahịa (product description) dị na kọlụm B maka ahịrị a na data ị nyere. Biko nye m ederede nkọwa ahụ ka m nwee ike ịsụgharị ya n'asụsụ Igbo.</v>
      </c>
      <c r="E92" s="5" t="s">
        <v>223</v>
      </c>
      <c r="F92" s="5">
        <v>119.99</v>
      </c>
      <c r="G92" s="5">
        <v>4.97</v>
      </c>
      <c r="H92" s="5">
        <v>4.77</v>
      </c>
      <c r="I92" s="5">
        <v>17.0</v>
      </c>
      <c r="J92" s="5" t="s">
        <v>224</v>
      </c>
      <c r="K92" s="5" t="s">
        <v>232</v>
      </c>
      <c r="L92" s="5">
        <v>7.0</v>
      </c>
      <c r="M92" s="5" t="s">
        <v>26</v>
      </c>
      <c r="N92" s="5" t="s">
        <v>27</v>
      </c>
      <c r="O92" s="5" t="s">
        <v>28</v>
      </c>
      <c r="P92" s="5" t="str">
        <f>IFERROR(__xludf.DUMMYFUNCTION("AI(""Extract and delete ratings from Column P2:P101"")"),"4, 5, 5")</f>
        <v>4, 5, 5</v>
      </c>
      <c r="Q92" s="5" t="str">
        <f>IFERROR(__xludf.DUMMYFUNCTION("AI(""Extract onlu Reviews in column P2:P101"")"),"- Would buy again\!
  - Fast shipping\!
  - Awesome product\!")</f>
        <v>- Would buy again\!
  - Fast shipping\!
  - Awesome product\!</v>
      </c>
      <c r="R92" s="5" t="str">
        <f>IFERROR(__xludf.DUMMYFUNCTION("AI(""Retain only date and time in column Q2:Q101 remove any unimportant information"")"),"2025-04-30 09:41:02")</f>
        <v>2025-04-30 09:41:02</v>
      </c>
      <c r="S92" s="7" t="str">
        <f>IFERROR(__xludf.DUMMYFUNCTION("AI(""Extract only emails from Column P2:P101"")"),"sadie.morales@x.dummyjson.com, julian.newton@x.dummyjson.com, logan.lee@x.dummyjson.com")</f>
        <v>sadie.morales@x.dummyjson.com, julian.newton@x.dummyjson.com, logan.lee@x.dummyjson.com</v>
      </c>
      <c r="T92" s="7" t="str">
        <f>IFERROR(__xludf.DUMMYFUNCTION("AI(""Analyse the consumers' reviews in Column Q2:Q101 using 2words"")"),"Highly positive")</f>
        <v>Highly positive</v>
      </c>
      <c r="U92" s="5" t="s">
        <v>96</v>
      </c>
      <c r="V92" s="5">
        <v>5.0</v>
      </c>
    </row>
    <row r="93" ht="22.5" customHeight="1">
      <c r="A93" s="5" t="s">
        <v>233</v>
      </c>
      <c r="B93" s="6" t="str">
        <f>IFERROR(__xludf.DUMMYFUNCTION("AI(""Generate catchy and well detailed product descriptions in 8words for the products in Column A"")"),"Striking red sports sneakers for peak athletic performance.")</f>
        <v>Striking red sports sneakers for peak athletic performance.</v>
      </c>
      <c r="C93" s="6" t="str">
        <f>IFERROR(__xludf.DUMMYFUNCTION("AI(""Generate brief summary for the product descriptions in columnB using 3 keywords"")"),"Footwear, casual, sneakers")</f>
        <v>Footwear, casual, sneakers</v>
      </c>
      <c r="D93" s="7" t="str">
        <f>IFERROR(__xludf.DUMMYFUNCTION("AI(""translate product desptions in column B to Igbo"")"),"Akpụkpọ ụkwụ egwuregwu na-acha ocha na ọbara ọbara.")</f>
        <v>Akpụkpọ ụkwụ egwuregwu na-acha ocha na ọbara ọbara.</v>
      </c>
      <c r="E93" s="5" t="s">
        <v>223</v>
      </c>
      <c r="F93" s="5">
        <v>109.99</v>
      </c>
      <c r="G93" s="5">
        <v>0.04</v>
      </c>
      <c r="H93" s="5">
        <v>4.69</v>
      </c>
      <c r="I93" s="5">
        <v>62.0</v>
      </c>
      <c r="J93" s="5" t="s">
        <v>229</v>
      </c>
      <c r="K93" s="5" t="s">
        <v>232</v>
      </c>
      <c r="L93" s="5">
        <v>9.0</v>
      </c>
      <c r="M93" s="5" t="s">
        <v>39</v>
      </c>
      <c r="N93" s="5" t="s">
        <v>50</v>
      </c>
      <c r="O93" s="5" t="s">
        <v>28</v>
      </c>
      <c r="P93" s="5" t="str">
        <f>IFERROR(__xludf.DUMMYFUNCTION("AI(""Extract and delete ratings from Column P2:P101"")"),"4, 5, 1")</f>
        <v>4, 5, 1</v>
      </c>
      <c r="Q93" s="5" t="str">
        <f>IFERROR(__xludf.DUMMYFUNCTION("AI(""Extract onlu Reviews in column P2:P101"")"),"- Excellent quality\!
  - Great value for money\!
  - Not worth the price\!")</f>
        <v>- Excellent quality\!
  - Great value for money\!
  - Not worth the price\!</v>
      </c>
      <c r="R93" s="5" t="str">
        <f>IFERROR(__xludf.DUMMYFUNCTION("AI(""Retain only date and time in column Q2:Q101 remove any unimportant information"")"),"2025-04-30 09:41:02")</f>
        <v>2025-04-30 09:41:02</v>
      </c>
      <c r="S93" s="7" t="str">
        <f>IFERROR(__xludf.DUMMYFUNCTION("AI(""Extract only emails from Column P2:P101"")"),"aurora.lawson@x.dummyjson.com, gabriel.mitchell@x.dummyjson.com, eli.bennett@x.dummyjson.com")</f>
        <v>aurora.lawson@x.dummyjson.com, gabriel.mitchell@x.dummyjson.com, eli.bennett@x.dummyjson.com</v>
      </c>
      <c r="T93" s="7" t="str">
        <f>IFERROR(__xludf.DUMMYFUNCTION("AI(""Analyse the consumers' reviews in Column Q2:Q101 using 2words"")"),"Highly positive")</f>
        <v>Highly positive</v>
      </c>
      <c r="U93" s="5" t="s">
        <v>82</v>
      </c>
      <c r="V93" s="5">
        <v>3.0</v>
      </c>
    </row>
    <row r="94" ht="22.5" customHeight="1">
      <c r="A94" s="5" t="s">
        <v>234</v>
      </c>
      <c r="B94" s="6" t="str">
        <f>IFERROR(__xludf.DUMMYFUNCTION("AI(""Generate catchy and well detailed product descriptions in 8words for the products in Column A"")"),"Elegant brown leather watch for a sophisticated look.")</f>
        <v>Elegant brown leather watch for a sophisticated look.</v>
      </c>
      <c r="C94" s="6" t="str">
        <f>IFERROR(__xludf.DUMMYFUNCTION("AI(""Generate brief summary for the product descriptions in columnB using 3 keywords"")"),"Elegant, classic, durable")</f>
        <v>Elegant, classic, durable</v>
      </c>
      <c r="D94" s="7" t="str">
        <f>IFERROR(__xludf.DUMMYFUNCTION("AI(""translate product desptions in column B to Igbo"")"),"Aka nche elekere akpụkpọ anụ agba nchara nchara.")</f>
        <v>Aka nche elekere akpụkpọ anụ agba nchara nchara.</v>
      </c>
      <c r="E94" s="5" t="s">
        <v>235</v>
      </c>
      <c r="F94" s="5">
        <v>89.99</v>
      </c>
      <c r="G94" s="5">
        <v>5.99</v>
      </c>
      <c r="H94" s="5">
        <v>4.19</v>
      </c>
      <c r="I94" s="5">
        <v>32.0</v>
      </c>
      <c r="J94" s="5" t="s">
        <v>236</v>
      </c>
      <c r="K94" s="5" t="s">
        <v>237</v>
      </c>
      <c r="L94" s="5">
        <v>10.0</v>
      </c>
      <c r="M94" s="5" t="s">
        <v>33</v>
      </c>
      <c r="N94" s="5" t="s">
        <v>62</v>
      </c>
      <c r="O94" s="5" t="s">
        <v>28</v>
      </c>
      <c r="P94" s="5" t="str">
        <f>IFERROR(__xludf.DUMMYFUNCTION("AI(""Extract and delete ratings from Column P2:P101"")"),"1, 4, 4")</f>
        <v>1, 4, 4</v>
      </c>
      <c r="Q94" s="5" t="str">
        <f>IFERROR(__xludf.DUMMYFUNCTION("AI(""Extract onlu Reviews in column P2:P101"")"),"- Very unhappy with my purchase\!
  - Fast shipping\!
  - Would buy again\!")</f>
        <v>- Very unhappy with my purchase\!
  - Fast shipping\!
  - Would buy again\!</v>
      </c>
      <c r="R94" s="5" t="str">
        <f>IFERROR(__xludf.DUMMYFUNCTION("AI(""Retain only date and time in column Q2:Q101 remove any unimportant information"")"),"2025-04-30 09:41:02")</f>
        <v>2025-04-30 09:41:02</v>
      </c>
      <c r="S94" s="7" t="str">
        <f>IFERROR(__xludf.DUMMYFUNCTION("AI(""Extract only emails from Column P2:P101"")"),"james.garcia@x.dummyjson.com, avery.barnes@x.dummyjson.com, david.martinez@x.dummyjson.com")</f>
        <v>james.garcia@x.dummyjson.com, avery.barnes@x.dummyjson.com, david.martinez@x.dummyjson.com</v>
      </c>
      <c r="T94" s="7" t="str">
        <f>IFERROR(__xludf.DUMMYFUNCTION("AI(""Analyse the consumers' reviews in Column Q2:Q101 using 2words"")"),"Mixed feedback")</f>
        <v>Mixed feedback</v>
      </c>
      <c r="U94" s="5" t="s">
        <v>96</v>
      </c>
      <c r="V94" s="5">
        <v>7.0</v>
      </c>
    </row>
    <row r="95" ht="22.5" customHeight="1">
      <c r="A95" s="5" t="s">
        <v>238</v>
      </c>
      <c r="B95" s="6" t="str">
        <f>IFERROR(__xludf.DUMMYFUNCTION("AI(""Generate catchy and well detailed product descriptions in 8words for the products in Column A"")"),"Elegant luxury watch designed for the sophisticated man.")</f>
        <v>Elegant luxury watch designed for the sophisticated man.</v>
      </c>
      <c r="C95" s="6" t="str">
        <f>IFERROR(__xludf.DUMMYFUNCTION("AI(""Generate brief summary for the product descriptions in columnB using 3 keywords"")"),"Elegant, Luxury, Timeless")</f>
        <v>Elegant, Luxury, Timeless</v>
      </c>
      <c r="D95" s="7" t="str">
        <f>IFERROR(__xludf.DUMMYFUNCTION("AI(""translate product desptions in column B to Igbo"")"),"Aka nche Longines Master Collection na-egosipụta nke ọma ọkachamara nke akara ahụ na mmepụta aka nche.")</f>
        <v>Aka nche Longines Master Collection na-egosipụta nke ọma ọkachamara nke akara ahụ na mmepụta aka nche.</v>
      </c>
      <c r="E95" s="5" t="s">
        <v>235</v>
      </c>
      <c r="F95" s="5">
        <v>1499.99</v>
      </c>
      <c r="G95" s="5">
        <v>17.24</v>
      </c>
      <c r="H95" s="5">
        <v>3.87</v>
      </c>
      <c r="I95" s="5">
        <v>100.0</v>
      </c>
      <c r="J95" s="5" t="s">
        <v>239</v>
      </c>
      <c r="K95" s="5" t="s">
        <v>240</v>
      </c>
      <c r="L95" s="5">
        <v>4.0</v>
      </c>
      <c r="M95" s="5" t="s">
        <v>26</v>
      </c>
      <c r="N95" s="5" t="s">
        <v>40</v>
      </c>
      <c r="O95" s="5" t="s">
        <v>28</v>
      </c>
      <c r="P95" s="5" t="str">
        <f>IFERROR(__xludf.DUMMYFUNCTION("AI(""Extract and delete ratings from Column P2:P101"")"),"4, 3, 5")</f>
        <v>4, 3, 5</v>
      </c>
      <c r="Q95" s="5" t="str">
        <f>IFERROR(__xludf.DUMMYFUNCTION("AI(""Extract onlu Reviews in column P2:P101"")"),"- Highly impressed\!
  - Very disappointed\!
  - Great product\!")</f>
        <v>- Highly impressed\!
  - Very disappointed\!
  - Great product\!</v>
      </c>
      <c r="R95" s="5" t="str">
        <f>IFERROR(__xludf.DUMMYFUNCTION("AI(""Retain only date and time in column Q2:Q101 remove any unimportant information"")"),"2025-04-30 09:41:02")</f>
        <v>2025-04-30 09:41:02</v>
      </c>
      <c r="S95" s="7" t="str">
        <f>IFERROR(__xludf.DUMMYFUNCTION("AI(""Extract only emails from Column P2:P101"")"),"eli.ward@x.dummyjson.com, owen.fisher@x.dummyjson.com, nathan.reed@x.dummyjson.com")</f>
        <v>eli.ward@x.dummyjson.com, owen.fisher@x.dummyjson.com, nathan.reed@x.dummyjson.com</v>
      </c>
      <c r="T95" s="7" t="str">
        <f>IFERROR(__xludf.DUMMYFUNCTION("AI(""Analyse the consumers' reviews in Column Q2:Q101 using 2words"")"),"Mixed feedback")</f>
        <v>Mixed feedback</v>
      </c>
      <c r="U95" s="5" t="s">
        <v>35</v>
      </c>
      <c r="V95" s="5">
        <v>1.0</v>
      </c>
    </row>
    <row r="96" ht="22.5" customHeight="1">
      <c r="A96" s="5" t="s">
        <v>241</v>
      </c>
      <c r="B96" s="6" t="str">
        <f>IFERROR(__xludf.DUMMYFUNCTION("AI(""Generate catchy and well detailed product descriptions in 8words for the products in Column A"")"),"Exquisite luxury timepiece featuring a timeless black dial.")</f>
        <v>Exquisite luxury timepiece featuring a timeless black dial.</v>
      </c>
      <c r="C96" s="6" t="str">
        <f>IFERROR(__xludf.DUMMYFUNCTION("AI(""Generate brief summary for the product descriptions in columnB using 3 keywords"")"),"Luxury, classic, precise")</f>
        <v>Luxury, classic, precise</v>
      </c>
      <c r="D96" s="7" t="str">
        <f>IFERROR(__xludf.DUMMYFUNCTION("AI(""translate product desptions in column B to Igbo"")"),"Elekere okomoko mara mma nwere ihu ojii na ọrụ ụbọchị.")</f>
        <v>Elekere okomoko mara mma nwere ihu ojii na ọrụ ụbọchị.</v>
      </c>
      <c r="E96" s="5" t="s">
        <v>235</v>
      </c>
      <c r="F96" s="5">
        <v>8999.99</v>
      </c>
      <c r="G96" s="5">
        <v>8.88</v>
      </c>
      <c r="H96" s="5">
        <v>4.97</v>
      </c>
      <c r="I96" s="5">
        <v>40.0</v>
      </c>
      <c r="J96" s="5" t="s">
        <v>239</v>
      </c>
      <c r="K96" s="5" t="s">
        <v>242</v>
      </c>
      <c r="L96" s="5">
        <v>2.0</v>
      </c>
      <c r="M96" s="5" t="s">
        <v>39</v>
      </c>
      <c r="N96" s="5" t="s">
        <v>45</v>
      </c>
      <c r="O96" s="5" t="s">
        <v>28</v>
      </c>
      <c r="P96" s="5" t="str">
        <f>IFERROR(__xludf.DUMMYFUNCTION("AI(""Extract and delete ratings from Column P2:P101"")"),"3, 4, 1")</f>
        <v>3, 4, 1</v>
      </c>
      <c r="Q96" s="5" t="str">
        <f>IFERROR(__xludf.DUMMYFUNCTION("AI(""Extract onlu Reviews in column P2:P101"")"),"- Not worth the price\!
  - Very satisfied\!
  - Would not buy again\!")</f>
        <v>- Not worth the price\!
  - Very satisfied\!
  - Would not buy again\!</v>
      </c>
      <c r="R96" s="5" t="str">
        <f>IFERROR(__xludf.DUMMYFUNCTION("AI(""Retain only date and time in column Q2:Q101 remove any unimportant information"")"),"2025-04-30 09:41:02")</f>
        <v>2025-04-30 09:41:02</v>
      </c>
      <c r="S96" s="7" t="str">
        <f>IFERROR(__xludf.DUMMYFUNCTION("AI(""Extract only emails from Column P2:P101"")"),"owen.sullivan@x.dummyjson.com, jonathan.pierce@x.dummyjson.com, adrian.flores@x.dummyjson.com")</f>
        <v>owen.sullivan@x.dummyjson.com, jonathan.pierce@x.dummyjson.com, adrian.flores@x.dummyjson.com</v>
      </c>
      <c r="T96" s="7" t="str">
        <f>IFERROR(__xludf.DUMMYFUNCTION("AI(""Analyse the consumers' reviews in Column Q2:Q101 using 2words"")"),"Mixed feedback")</f>
        <v>Mixed feedback</v>
      </c>
      <c r="U96" s="5" t="s">
        <v>55</v>
      </c>
      <c r="V96" s="5">
        <v>1.0</v>
      </c>
    </row>
    <row r="97" ht="22.5" customHeight="1">
      <c r="A97" s="5" t="s">
        <v>243</v>
      </c>
      <c r="B97" s="6" t="str">
        <f>IFERROR(__xludf.DUMMYFUNCTION("AI(""Generate catchy and well detailed product descriptions in 8words for the products in Column A"")"),"Elegant luxury watch with a stunning celestial moonphase.")</f>
        <v>Elegant luxury watch with a stunning celestial moonphase.</v>
      </c>
      <c r="C97" s="6" t="str">
        <f>IFERROR(__xludf.DUMMYFUNCTION("AI(""Generate brief summary for the product descriptions in columnB using 3 keywords"")"),"Luxury, moonphase, elegant")</f>
        <v>Luxury, moonphase, elegant</v>
      </c>
      <c r="D97" s="7" t="str">
        <f>IFERROR(__xludf.DUMMYFUNCTION("AI(""translate product desptions in column B to Igbo"")"),"Aka elekere Rolex Cellini Moonphase bụ nka pụrụ iche nke oge, na-egosipụta mgbagwoju anya nke ọnwa na nhazi mara mma.")</f>
        <v>Aka elekere Rolex Cellini Moonphase bụ nka pụrụ iche nke oge, na-egosipụta mgbagwoju anya nke ọnwa na nhazi mara mma.</v>
      </c>
      <c r="E97" s="5" t="s">
        <v>235</v>
      </c>
      <c r="F97" s="5">
        <v>12999.99</v>
      </c>
      <c r="G97" s="5">
        <v>17.52</v>
      </c>
      <c r="H97" s="5">
        <v>2.58</v>
      </c>
      <c r="I97" s="5">
        <v>36.0</v>
      </c>
      <c r="J97" s="5" t="s">
        <v>239</v>
      </c>
      <c r="K97" s="5" t="s">
        <v>242</v>
      </c>
      <c r="L97" s="5">
        <v>2.0</v>
      </c>
      <c r="M97" s="5" t="s">
        <v>66</v>
      </c>
      <c r="N97" s="5" t="s">
        <v>50</v>
      </c>
      <c r="O97" s="5" t="s">
        <v>28</v>
      </c>
      <c r="P97" s="5" t="str">
        <f>IFERROR(__xludf.DUMMYFUNCTION("AI(""Extract and delete ratings from Column P2:P101"")"),"3, 5, 4")</f>
        <v>3, 5, 4</v>
      </c>
      <c r="Q97" s="5" t="str">
        <f>IFERROR(__xludf.DUMMYFUNCTION("AI(""Extract onlu Reviews in column P2:P101"")"),"- Poor quality\!
  - Very satisfied\!
  - Very pleased\!")</f>
        <v>- Poor quality\!
  - Very satisfied\!
  - Very pleased\!</v>
      </c>
      <c r="R97" s="5" t="str">
        <f>IFERROR(__xludf.DUMMYFUNCTION("AI(""Retain only date and time in column Q2:Q101 remove any unimportant information"")"),"2025-04-30 09:41:02")</f>
        <v>2025-04-30 09:41:02</v>
      </c>
      <c r="S97" s="7" t="str">
        <f>IFERROR(__xludf.DUMMYFUNCTION("AI(""Extract only emails from Column P2:P101"")"),"ella.adams@x.dummyjson.com, leo.rivera@x.dummyjson.com, emma.miller@x.dummyjson.com")</f>
        <v>ella.adams@x.dummyjson.com, leo.rivera@x.dummyjson.com, emma.miller@x.dummyjson.com</v>
      </c>
      <c r="T97" s="7" t="str">
        <f>IFERROR(__xludf.DUMMYFUNCTION("AI(""Analyse the consumers' reviews in Column Q2:Q101 using 2words"")"),"Mixed feedback")</f>
        <v>Mixed feedback</v>
      </c>
      <c r="U97" s="5" t="s">
        <v>35</v>
      </c>
      <c r="V97" s="5">
        <v>1.0</v>
      </c>
    </row>
    <row r="98" ht="22.5" customHeight="1">
      <c r="A98" s="5" t="s">
        <v>244</v>
      </c>
      <c r="B98" s="6" t="str">
        <f>IFERROR(__xludf.DUMMYFUNCTION("AI(""Generate catchy and well detailed product descriptions in 8words for the products in Column A"")"),"Iconic luxury timepiece featuring timeless design and precision.")</f>
        <v>Iconic luxury timepiece featuring timeless design and precision.</v>
      </c>
      <c r="C98" s="6" t="str">
        <f>IFERROR(__xludf.DUMMYFUNCTION("AI(""Generate brief summary for the product descriptions in columnB using 3 keywords"")"),"Luxury, Timeless, Precise")</f>
        <v>Luxury, Timeless, Precise</v>
      </c>
      <c r="D98" s="7" t="str">
        <f>IFERROR(__xludf.DUMMYFUNCTION("AI(""translate product desptions in column B to Igbo"")"),"Elekere Rolex Datejust bu elekere mara mma ma dikwa elu, nke nwere nhazi oge ochie na-adịghị agba nchara.")</f>
        <v>Elekere Rolex Datejust bu elekere mara mma ma dikwa elu, nke nwere nhazi oge ochie na-adịghị agba nchara.</v>
      </c>
      <c r="E98" s="5" t="s">
        <v>235</v>
      </c>
      <c r="F98" s="5">
        <v>10999.99</v>
      </c>
      <c r="G98" s="5">
        <v>3.73</v>
      </c>
      <c r="H98" s="5">
        <v>3.66</v>
      </c>
      <c r="I98" s="5">
        <v>86.0</v>
      </c>
      <c r="J98" s="5" t="s">
        <v>239</v>
      </c>
      <c r="K98" s="5" t="s">
        <v>242</v>
      </c>
      <c r="L98" s="5">
        <v>4.0</v>
      </c>
      <c r="M98" s="5" t="s">
        <v>81</v>
      </c>
      <c r="N98" s="5" t="s">
        <v>62</v>
      </c>
      <c r="O98" s="5" t="s">
        <v>28</v>
      </c>
      <c r="P98" s="5" t="str">
        <f>IFERROR(__xludf.DUMMYFUNCTION("AI(""Extract and delete ratings from Column P2:P101"")"),"4, 4, 3")</f>
        <v>4, 4, 3</v>
      </c>
      <c r="Q98" s="5" t="str">
        <f>IFERROR(__xludf.DUMMYFUNCTION("AI(""Extract onlu Reviews in column P2:P101"")"),"- Fast shipping\!
  - Very pleased\!
  - Waste of money\!")</f>
        <v>- Fast shipping\!
  - Very pleased\!
  - Waste of money\!</v>
      </c>
      <c r="R98" s="5" t="str">
        <f>IFERROR(__xludf.DUMMYFUNCTION("AI(""Retain only date and time in column Q2:Q101 remove any unimportant information"")"),"2025-04-30 09:41:02")</f>
        <v>2025-04-30 09:41:02</v>
      </c>
      <c r="S98" s="7" t="str">
        <f>IFERROR(__xludf.DUMMYFUNCTION("AI(""Extract only emails from Column P2:P101"")"),"alice.smith@x.dummyjson.com, abigail.rivera@x.dummyjson.com, daniel.cook@x.dummyjson.com")</f>
        <v>alice.smith@x.dummyjson.com, abigail.rivera@x.dummyjson.com, daniel.cook@x.dummyjson.com</v>
      </c>
      <c r="T98" s="7" t="str">
        <f>IFERROR(__xludf.DUMMYFUNCTION("AI(""Analyse the consumers' reviews in Column Q2:Q101 using 2words"")"),"Mixed feedback")</f>
        <v>Mixed feedback</v>
      </c>
      <c r="U98" s="5" t="s">
        <v>35</v>
      </c>
      <c r="V98" s="5">
        <v>1.0</v>
      </c>
    </row>
    <row r="99" ht="22.5" customHeight="1">
      <c r="A99" s="5" t="s">
        <v>245</v>
      </c>
      <c r="B99" s="6" t="str">
        <f>IFERROR(__xludf.DUMMYFUNCTION("AI(""Generate catchy and well detailed product descriptions in 8words for the products in Column A"")"),"Iconic luxury diver watch for legendary underwater precision.")</f>
        <v>Iconic luxury diver watch for legendary underwater precision.</v>
      </c>
      <c r="C99" s="6" t="str">
        <f>IFERROR(__xludf.DUMMYFUNCTION("AI(""Generate brief summary for the product descriptions in columnB using 3 keywords"")"),"Luxury, Diver, Iconic")</f>
        <v>Luxury, Diver, Iconic</v>
      </c>
      <c r="D99" s="7" t="str">
        <f>IFERROR(__xludf.DUMMYFUNCTION("AI(""translate product desptions in column B to Igbo"")"),"Aha nche Rolex Submariner mara mma ma dị ike maka ndị nwoke.")</f>
        <v>Aha nche Rolex Submariner mara mma ma dị ike maka ndị nwoke.</v>
      </c>
      <c r="E99" s="5" t="s">
        <v>235</v>
      </c>
      <c r="F99" s="5">
        <v>13999.99</v>
      </c>
      <c r="G99" s="5">
        <v>5.05</v>
      </c>
      <c r="H99" s="5">
        <v>2.69</v>
      </c>
      <c r="I99" s="5">
        <v>55.0</v>
      </c>
      <c r="J99" s="5" t="s">
        <v>239</v>
      </c>
      <c r="K99" s="5" t="s">
        <v>242</v>
      </c>
      <c r="L99" s="5">
        <v>4.0</v>
      </c>
      <c r="M99" s="5" t="s">
        <v>77</v>
      </c>
      <c r="N99" s="5" t="s">
        <v>62</v>
      </c>
      <c r="O99" s="5" t="s">
        <v>28</v>
      </c>
      <c r="P99" s="5" t="str">
        <f>IFERROR(__xludf.DUMMYFUNCTION("AI(""Extract and delete ratings from Column P2:P101"")"),"4, 5, 5")</f>
        <v>4, 5, 5</v>
      </c>
      <c r="Q99" s="5" t="str">
        <f>IFERROR(__xludf.DUMMYFUNCTION("AI(""Extract onlu Reviews in column P2:P101"")"),"- Great value for money\!
  - Highly recommended\!
  - Fast shipping\!")</f>
        <v>- Great value for money\!
  - Highly recommended\!
  - Fast shipping\!</v>
      </c>
      <c r="R99" s="5" t="str">
        <f>IFERROR(__xludf.DUMMYFUNCTION("AI(""Retain only date and time in column Q2:Q101 remove any unimportant information"")"),"2025-04-30 09:41:02")</f>
        <v>2025-04-30 09:41:02</v>
      </c>
      <c r="S99" s="7" t="str">
        <f>IFERROR(__xludf.DUMMYFUNCTION("AI(""Extract only emails from Column P2:P101"")"),"luna.perez@x.dummyjson.com, hannah.robinson@x.dummyjson.com, aaliyah.hanson@x.dummyjson.com")</f>
        <v>luna.perez@x.dummyjson.com, hannah.robinson@x.dummyjson.com, aaliyah.hanson@x.dummyjson.com</v>
      </c>
      <c r="T99" s="7" t="str">
        <f>IFERROR(__xludf.DUMMYFUNCTION("AI(""Analyse the consumers' reviews in Column Q2:Q101 using 2words"")"),"Mixed feedback")</f>
        <v>Mixed feedback</v>
      </c>
      <c r="U99" s="5" t="s">
        <v>55</v>
      </c>
      <c r="V99" s="5">
        <v>1.0</v>
      </c>
    </row>
    <row r="100" ht="22.5" customHeight="1">
      <c r="A100" s="5" t="s">
        <v>246</v>
      </c>
      <c r="B100" s="6" t="str">
        <f>IFERROR(__xludf.DUMMYFUNCTION("AI(""Generate catchy and well detailed product descriptions in 8words for the products in Column A"")"),"Premium smart speaker featuring powerful sound and Alexa.")</f>
        <v>Premium smart speaker featuring powerful sound and Alexa.</v>
      </c>
      <c r="C100" s="6" t="str">
        <f>IFERROR(__xludf.DUMMYFUNCTION("AI(""Generate brief summary for the product descriptions in columnB using 3 keywords"")"),"Smart, Speaker, Hub")</f>
        <v>Smart, Speaker, Hub</v>
      </c>
      <c r="D100" s="7" t="str">
        <f>IFERROR(__xludf.DUMMYFUNCTION("AI(""translate product desptions in column B to Igbo"")"),"Igbe okwu mara mma nwere Alexa na ebe njikwa ụlọ mara mma arụnyere n'ime ya maka ijikwa ngwaọrụ gị.")</f>
        <v>Igbe okwu mara mma nwere Alexa na ebe njikwa ụlọ mara mma arụnyere n'ime ya maka ijikwa ngwaọrụ gị.</v>
      </c>
      <c r="E100" s="5" t="s">
        <v>247</v>
      </c>
      <c r="F100" s="5">
        <v>99.99</v>
      </c>
      <c r="G100" s="5">
        <v>12.07</v>
      </c>
      <c r="H100" s="5">
        <v>4.99</v>
      </c>
      <c r="I100" s="5">
        <v>61.0</v>
      </c>
      <c r="J100" s="5" t="s">
        <v>248</v>
      </c>
      <c r="K100" s="5" t="s">
        <v>249</v>
      </c>
      <c r="L100" s="5">
        <v>5.0</v>
      </c>
      <c r="M100" s="5" t="s">
        <v>66</v>
      </c>
      <c r="N100" s="5" t="s">
        <v>45</v>
      </c>
      <c r="O100" s="5" t="s">
        <v>28</v>
      </c>
      <c r="P100" s="5" t="str">
        <f>IFERROR(__xludf.DUMMYFUNCTION("AI(""Extract and delete ratings from Column P2:P101"")"),"2, 3, 4")</f>
        <v>2, 3, 4</v>
      </c>
      <c r="Q100" s="5" t="str">
        <f>IFERROR(__xludf.DUMMYFUNCTION("AI(""Extract onlu Reviews in column P2:P101"")"),"- Would not recommend\!
  - Very disappointed\!
  - Fast shipping\!")</f>
        <v>- Would not recommend\!
  - Very disappointed\!
  - Fast shipping\!</v>
      </c>
      <c r="R100" s="5" t="str">
        <f>IFERROR(__xludf.DUMMYFUNCTION("AI(""Retain only date and time in column Q2:Q101 remove any unimportant information"")"),"2025-04-30 09:41:02")</f>
        <v>2025-04-30 09:41:02</v>
      </c>
      <c r="S100" s="7" t="str">
        <f>IFERROR(__xludf.DUMMYFUNCTION("AI(""Extract only emails from Column P2:P101"")"),"chloe.morales@x.dummyjson.com, mateo.perez@x.dummyjson.com, evelyn.walker@x.dummyjson.com")</f>
        <v>chloe.morales@x.dummyjson.com, mateo.perez@x.dummyjson.com, evelyn.walker@x.dummyjson.com</v>
      </c>
      <c r="T100" s="7" t="str">
        <f>IFERROR(__xludf.DUMMYFUNCTION("AI(""Analyse the consumers' reviews in Column Q2:Q101 using 2words"")"),"Highly Positive")</f>
        <v>Highly Positive</v>
      </c>
      <c r="U100" s="5" t="s">
        <v>35</v>
      </c>
      <c r="V100" s="5">
        <v>9.0</v>
      </c>
    </row>
    <row r="101" ht="22.5" customHeight="1">
      <c r="A101" s="5" t="s">
        <v>250</v>
      </c>
      <c r="B101" s="6" t="str">
        <f>IFERROR(__xludf.DUMMYFUNCTION("AI(""Generate catchy and well detailed product descriptions in 8words for the products in Column A"")"),"Premium wireless audio experience with seamless Apple integration.")</f>
        <v>Premium wireless audio experience with seamless Apple integration.</v>
      </c>
      <c r="C101" s="6" t="str">
        <f>IFERROR(__xludf.DUMMYFUNCTION("AI(""Generate brief summary for the product descriptions in columnB using 3 keywords"")"),"Wireless, audio, seamless")</f>
        <v>Wireless, audio, seamless</v>
      </c>
      <c r="D101" s="7" t="str">
        <f>IFERROR(__xludf.DUMMYFUNCTION("AI(""translate product desptions in column B to Igbo"")"),"Igwe ntị ikuku dị mma maka ụda doro anya na njikọ dị mfe.")</f>
        <v>Igwe ntị ikuku dị mma maka ụda doro anya na njikọ dị mfe.</v>
      </c>
      <c r="E101" s="5" t="s">
        <v>247</v>
      </c>
      <c r="F101" s="5">
        <v>129.99</v>
      </c>
      <c r="G101" s="5">
        <v>15.54</v>
      </c>
      <c r="H101" s="5">
        <v>4.15</v>
      </c>
      <c r="I101" s="5">
        <v>67.0</v>
      </c>
      <c r="J101" s="5" t="s">
        <v>251</v>
      </c>
      <c r="K101" s="5" t="s">
        <v>86</v>
      </c>
      <c r="L101" s="5">
        <v>4.0</v>
      </c>
      <c r="M101" s="5" t="s">
        <v>44</v>
      </c>
      <c r="N101" s="5" t="s">
        <v>27</v>
      </c>
      <c r="O101" s="5" t="s">
        <v>28</v>
      </c>
      <c r="P101" s="5" t="str">
        <f>IFERROR(__xludf.DUMMYFUNCTION("AI(""Extract and delete ratings from Column P2:P101"")"),"3, 5, 4")</f>
        <v>3, 5, 4</v>
      </c>
      <c r="Q101" s="5" t="str">
        <f>IFERROR(__xludf.DUMMYFUNCTION("AI(""Extract onlu Reviews in column P2:P101"")"),"- Would not buy again\!
  - Great product\!
  - Excellent quality\!")</f>
        <v>- Would not buy again\!
  - Great product\!
  - Excellent quality\!</v>
      </c>
      <c r="R101" s="5" t="str">
        <f>IFERROR(__xludf.DUMMYFUNCTION("AI(""Retain only date and time in column Q2:Q101 remove any unimportant information"")"),"2025-04-30 09:41:02")</f>
        <v>2025-04-30 09:41:02</v>
      </c>
      <c r="S101" s="7" t="str">
        <f>IFERROR(__xludf.DUMMYFUNCTION("AI(""Extract only emails from Column P2:P101"")"),"christopher.west@x.dummyjson.com, emma.wilson@x.dummyjson.com, xavier.wright@x.dummyjson.com")</f>
        <v>christopher.west@x.dummyjson.com, emma.wilson@x.dummyjson.com, xavier.wright@x.dummyjson.com</v>
      </c>
      <c r="T101" s="7" t="str">
        <f>IFERROR(__xludf.DUMMYFUNCTION("AI(""Analyse the consumers' reviews in Column Q2:Q101 using 2words"")"),"Mixed feedback")</f>
        <v>Mixed feedback</v>
      </c>
      <c r="U101" s="5" t="s">
        <v>29</v>
      </c>
      <c r="V101" s="5">
        <v>4.0</v>
      </c>
    </row>
    <row r="102">
      <c r="D102" s="8"/>
      <c r="S102" s="8"/>
      <c r="T102" s="8"/>
    </row>
    <row r="103">
      <c r="D103" s="8"/>
      <c r="S103" s="8"/>
      <c r="T103" s="8"/>
    </row>
    <row r="104">
      <c r="D104" s="8"/>
      <c r="S104" s="8"/>
      <c r="T104" s="8"/>
    </row>
    <row r="105">
      <c r="D105" s="8"/>
      <c r="S105" s="8"/>
      <c r="T105" s="8"/>
    </row>
    <row r="106">
      <c r="D106" s="8"/>
      <c r="S106" s="8"/>
      <c r="T106" s="8"/>
    </row>
    <row r="107">
      <c r="D107" s="8"/>
      <c r="S107" s="8"/>
      <c r="T107" s="8"/>
    </row>
    <row r="108">
      <c r="D108" s="8"/>
      <c r="S108" s="8"/>
      <c r="T108" s="8"/>
    </row>
    <row r="109">
      <c r="D109" s="8"/>
      <c r="S109" s="8"/>
      <c r="T109" s="8"/>
    </row>
    <row r="110">
      <c r="D110" s="8"/>
      <c r="S110" s="8"/>
      <c r="T110" s="8"/>
    </row>
    <row r="111">
      <c r="D111" s="8"/>
      <c r="S111" s="8"/>
      <c r="T111" s="8"/>
    </row>
    <row r="112">
      <c r="D112" s="8"/>
      <c r="S112" s="8"/>
      <c r="T112" s="8"/>
    </row>
    <row r="113">
      <c r="D113" s="8"/>
      <c r="S113" s="8"/>
      <c r="T113" s="8"/>
    </row>
    <row r="114">
      <c r="D114" s="8"/>
      <c r="S114" s="8"/>
      <c r="T114" s="8"/>
    </row>
    <row r="115">
      <c r="D115" s="8"/>
      <c r="S115" s="8"/>
      <c r="T115" s="8"/>
    </row>
    <row r="116">
      <c r="D116" s="8"/>
      <c r="S116" s="8"/>
      <c r="T116" s="8"/>
    </row>
    <row r="117">
      <c r="D117" s="8"/>
      <c r="S117" s="8"/>
      <c r="T117" s="8"/>
    </row>
    <row r="118">
      <c r="D118" s="8"/>
      <c r="S118" s="8"/>
      <c r="T118" s="8"/>
    </row>
    <row r="119">
      <c r="D119" s="8"/>
      <c r="S119" s="8"/>
      <c r="T119" s="8"/>
    </row>
    <row r="120">
      <c r="D120" s="8"/>
      <c r="S120" s="8"/>
      <c r="T120" s="8"/>
    </row>
    <row r="121">
      <c r="D121" s="8"/>
      <c r="S121" s="8"/>
      <c r="T121" s="8"/>
    </row>
    <row r="122">
      <c r="D122" s="8"/>
      <c r="S122" s="8"/>
      <c r="T122" s="8"/>
    </row>
    <row r="123">
      <c r="D123" s="8"/>
      <c r="S123" s="8"/>
      <c r="T123" s="8"/>
    </row>
    <row r="124">
      <c r="D124" s="8"/>
      <c r="S124" s="8"/>
      <c r="T124" s="8"/>
    </row>
    <row r="125">
      <c r="D125" s="8"/>
      <c r="S125" s="8"/>
      <c r="T125" s="8"/>
    </row>
    <row r="126">
      <c r="D126" s="8"/>
      <c r="S126" s="8"/>
      <c r="T126" s="8"/>
    </row>
    <row r="127">
      <c r="D127" s="8"/>
      <c r="S127" s="8"/>
      <c r="T127" s="8"/>
    </row>
    <row r="128">
      <c r="D128" s="8"/>
      <c r="S128" s="8"/>
      <c r="T128" s="8"/>
    </row>
    <row r="129">
      <c r="D129" s="8"/>
      <c r="S129" s="8"/>
      <c r="T129" s="8"/>
    </row>
    <row r="130">
      <c r="D130" s="8"/>
      <c r="S130" s="8"/>
      <c r="T130" s="8"/>
    </row>
    <row r="131">
      <c r="D131" s="8"/>
      <c r="S131" s="8"/>
      <c r="T131" s="8"/>
    </row>
    <row r="132">
      <c r="D132" s="8"/>
      <c r="S132" s="8"/>
      <c r="T132" s="8"/>
    </row>
    <row r="133">
      <c r="D133" s="8"/>
      <c r="S133" s="8"/>
      <c r="T133" s="8"/>
    </row>
    <row r="134">
      <c r="D134" s="8"/>
      <c r="S134" s="8"/>
      <c r="T134" s="8"/>
    </row>
    <row r="135">
      <c r="D135" s="8"/>
      <c r="S135" s="8"/>
      <c r="T135" s="8"/>
    </row>
    <row r="136">
      <c r="D136" s="8"/>
      <c r="S136" s="8"/>
      <c r="T136" s="8"/>
    </row>
    <row r="137">
      <c r="D137" s="8"/>
      <c r="S137" s="8"/>
      <c r="T137" s="8"/>
    </row>
    <row r="138">
      <c r="D138" s="8"/>
      <c r="S138" s="8"/>
      <c r="T138" s="8"/>
    </row>
    <row r="139">
      <c r="D139" s="8"/>
      <c r="S139" s="8"/>
      <c r="T139" s="8"/>
    </row>
    <row r="140">
      <c r="D140" s="8"/>
      <c r="S140" s="8"/>
      <c r="T140" s="8"/>
    </row>
    <row r="141">
      <c r="D141" s="8"/>
      <c r="S141" s="8"/>
      <c r="T141" s="8"/>
    </row>
    <row r="142">
      <c r="D142" s="8"/>
      <c r="S142" s="8"/>
      <c r="T142" s="8"/>
    </row>
    <row r="143">
      <c r="D143" s="8"/>
      <c r="S143" s="8"/>
      <c r="T143" s="8"/>
    </row>
    <row r="144">
      <c r="D144" s="8"/>
      <c r="S144" s="8"/>
      <c r="T144" s="8"/>
    </row>
    <row r="145">
      <c r="D145" s="8"/>
      <c r="S145" s="8"/>
      <c r="T145" s="8"/>
    </row>
    <row r="146">
      <c r="D146" s="8"/>
      <c r="S146" s="8"/>
      <c r="T146" s="8"/>
    </row>
    <row r="147">
      <c r="D147" s="8"/>
      <c r="S147" s="8"/>
      <c r="T147" s="8"/>
    </row>
    <row r="148">
      <c r="D148" s="8"/>
      <c r="S148" s="8"/>
      <c r="T148" s="8"/>
    </row>
    <row r="149">
      <c r="D149" s="8"/>
      <c r="S149" s="8"/>
      <c r="T149" s="8"/>
    </row>
    <row r="150">
      <c r="D150" s="8"/>
      <c r="S150" s="8"/>
      <c r="T150" s="8"/>
    </row>
    <row r="151">
      <c r="D151" s="8"/>
      <c r="S151" s="8"/>
      <c r="T151" s="8"/>
    </row>
    <row r="152">
      <c r="D152" s="8"/>
      <c r="S152" s="8"/>
      <c r="T152" s="8"/>
    </row>
    <row r="153">
      <c r="D153" s="8"/>
      <c r="S153" s="8"/>
      <c r="T153" s="8"/>
    </row>
    <row r="154">
      <c r="D154" s="8"/>
      <c r="S154" s="8"/>
      <c r="T154" s="8"/>
    </row>
    <row r="155">
      <c r="D155" s="8"/>
      <c r="S155" s="8"/>
      <c r="T155" s="8"/>
    </row>
    <row r="156">
      <c r="D156" s="8"/>
      <c r="S156" s="8"/>
      <c r="T156" s="8"/>
    </row>
    <row r="157">
      <c r="D157" s="8"/>
      <c r="S157" s="8"/>
      <c r="T157" s="8"/>
    </row>
    <row r="158">
      <c r="D158" s="8"/>
      <c r="S158" s="8"/>
      <c r="T158" s="8"/>
    </row>
    <row r="159">
      <c r="D159" s="8"/>
      <c r="S159" s="8"/>
      <c r="T159" s="8"/>
    </row>
    <row r="160">
      <c r="D160" s="8"/>
      <c r="S160" s="8"/>
      <c r="T160" s="8"/>
    </row>
    <row r="161">
      <c r="D161" s="8"/>
      <c r="S161" s="8"/>
      <c r="T161" s="8"/>
    </row>
    <row r="162">
      <c r="D162" s="8"/>
      <c r="S162" s="8"/>
      <c r="T162" s="8"/>
    </row>
    <row r="163">
      <c r="D163" s="8"/>
      <c r="S163" s="8"/>
      <c r="T163" s="8"/>
    </row>
    <row r="164">
      <c r="D164" s="8"/>
      <c r="S164" s="8"/>
      <c r="T164" s="8"/>
    </row>
    <row r="165">
      <c r="D165" s="8"/>
      <c r="S165" s="8"/>
      <c r="T165" s="8"/>
    </row>
    <row r="166">
      <c r="D166" s="8"/>
      <c r="S166" s="8"/>
      <c r="T166" s="8"/>
    </row>
    <row r="167">
      <c r="D167" s="8"/>
      <c r="S167" s="8"/>
      <c r="T167" s="8"/>
    </row>
    <row r="168">
      <c r="D168" s="8"/>
      <c r="S168" s="8"/>
      <c r="T168" s="8"/>
    </row>
    <row r="169">
      <c r="D169" s="8"/>
      <c r="S169" s="8"/>
      <c r="T169" s="8"/>
    </row>
    <row r="170">
      <c r="D170" s="8"/>
      <c r="S170" s="8"/>
      <c r="T170" s="8"/>
    </row>
    <row r="171">
      <c r="D171" s="8"/>
      <c r="S171" s="8"/>
      <c r="T171" s="8"/>
    </row>
    <row r="172">
      <c r="D172" s="8"/>
      <c r="S172" s="8"/>
      <c r="T172" s="8"/>
    </row>
    <row r="173">
      <c r="D173" s="8"/>
      <c r="S173" s="8"/>
      <c r="T173" s="8"/>
    </row>
    <row r="174">
      <c r="D174" s="8"/>
      <c r="S174" s="8"/>
      <c r="T174" s="8"/>
    </row>
    <row r="175">
      <c r="D175" s="8"/>
      <c r="S175" s="8"/>
      <c r="T175" s="8"/>
    </row>
    <row r="176">
      <c r="D176" s="8"/>
      <c r="S176" s="8"/>
      <c r="T176" s="8"/>
    </row>
    <row r="177">
      <c r="D177" s="8"/>
      <c r="S177" s="8"/>
      <c r="T177" s="8"/>
    </row>
    <row r="178">
      <c r="D178" s="8"/>
      <c r="S178" s="8"/>
      <c r="T178" s="8"/>
    </row>
    <row r="179">
      <c r="D179" s="8"/>
      <c r="S179" s="8"/>
      <c r="T179" s="8"/>
    </row>
    <row r="180">
      <c r="D180" s="8"/>
      <c r="S180" s="8"/>
      <c r="T180" s="8"/>
    </row>
    <row r="181">
      <c r="D181" s="8"/>
      <c r="S181" s="8"/>
      <c r="T181" s="8"/>
    </row>
    <row r="182">
      <c r="D182" s="8"/>
      <c r="S182" s="8"/>
      <c r="T182" s="8"/>
    </row>
    <row r="183">
      <c r="D183" s="8"/>
      <c r="S183" s="8"/>
      <c r="T183" s="8"/>
    </row>
    <row r="184">
      <c r="D184" s="8"/>
      <c r="S184" s="8"/>
      <c r="T184" s="8"/>
    </row>
    <row r="185">
      <c r="D185" s="8"/>
      <c r="S185" s="8"/>
      <c r="T185" s="8"/>
    </row>
    <row r="186">
      <c r="D186" s="8"/>
      <c r="S186" s="8"/>
      <c r="T186" s="8"/>
    </row>
    <row r="187">
      <c r="D187" s="8"/>
      <c r="S187" s="8"/>
      <c r="T187" s="8"/>
    </row>
    <row r="188">
      <c r="D188" s="8"/>
      <c r="S188" s="8"/>
      <c r="T188" s="8"/>
    </row>
    <row r="189">
      <c r="D189" s="8"/>
      <c r="S189" s="8"/>
      <c r="T189" s="8"/>
    </row>
    <row r="190">
      <c r="D190" s="8"/>
      <c r="S190" s="8"/>
      <c r="T190" s="8"/>
    </row>
    <row r="191">
      <c r="D191" s="8"/>
      <c r="S191" s="8"/>
      <c r="T191" s="8"/>
    </row>
    <row r="192">
      <c r="D192" s="8"/>
      <c r="S192" s="8"/>
      <c r="T192" s="8"/>
    </row>
    <row r="193">
      <c r="D193" s="8"/>
      <c r="S193" s="8"/>
      <c r="T193" s="8"/>
    </row>
    <row r="194">
      <c r="D194" s="8"/>
      <c r="S194" s="8"/>
      <c r="T194" s="8"/>
    </row>
    <row r="195">
      <c r="D195" s="8"/>
      <c r="S195" s="8"/>
      <c r="T195" s="8"/>
    </row>
    <row r="196">
      <c r="D196" s="8"/>
      <c r="S196" s="8"/>
      <c r="T196" s="8"/>
    </row>
    <row r="197">
      <c r="D197" s="8"/>
      <c r="S197" s="8"/>
      <c r="T197" s="8"/>
    </row>
    <row r="198">
      <c r="D198" s="8"/>
      <c r="S198" s="8"/>
      <c r="T198" s="8"/>
    </row>
    <row r="199">
      <c r="D199" s="8"/>
      <c r="S199" s="8"/>
      <c r="T199" s="8"/>
    </row>
    <row r="200">
      <c r="D200" s="8"/>
      <c r="S200" s="8"/>
      <c r="T200" s="8"/>
    </row>
    <row r="201">
      <c r="D201" s="8"/>
      <c r="S201" s="8"/>
      <c r="T201" s="8"/>
    </row>
    <row r="202">
      <c r="D202" s="8"/>
      <c r="S202" s="8"/>
      <c r="T202" s="8"/>
    </row>
    <row r="203">
      <c r="D203" s="8"/>
      <c r="S203" s="8"/>
      <c r="T203" s="8"/>
    </row>
    <row r="204">
      <c r="D204" s="8"/>
      <c r="S204" s="8"/>
      <c r="T204" s="8"/>
    </row>
    <row r="205">
      <c r="D205" s="8"/>
      <c r="S205" s="8"/>
      <c r="T205" s="8"/>
    </row>
    <row r="206">
      <c r="D206" s="8"/>
      <c r="S206" s="8"/>
      <c r="T206" s="8"/>
    </row>
    <row r="207">
      <c r="D207" s="8"/>
      <c r="S207" s="8"/>
      <c r="T207" s="8"/>
    </row>
    <row r="208">
      <c r="D208" s="8"/>
      <c r="S208" s="8"/>
      <c r="T208" s="8"/>
    </row>
    <row r="209">
      <c r="D209" s="8"/>
      <c r="S209" s="8"/>
      <c r="T209" s="8"/>
    </row>
    <row r="210">
      <c r="D210" s="8"/>
      <c r="S210" s="8"/>
      <c r="T210" s="8"/>
    </row>
    <row r="211">
      <c r="D211" s="8"/>
      <c r="S211" s="8"/>
      <c r="T211" s="8"/>
    </row>
    <row r="212">
      <c r="D212" s="8"/>
      <c r="S212" s="8"/>
      <c r="T212" s="8"/>
    </row>
    <row r="213">
      <c r="D213" s="8"/>
      <c r="S213" s="8"/>
      <c r="T213" s="8"/>
    </row>
    <row r="214">
      <c r="D214" s="8"/>
      <c r="S214" s="8"/>
      <c r="T214" s="8"/>
    </row>
    <row r="215">
      <c r="D215" s="8"/>
      <c r="S215" s="8"/>
      <c r="T215" s="8"/>
    </row>
    <row r="216">
      <c r="D216" s="8"/>
      <c r="S216" s="8"/>
      <c r="T216" s="8"/>
    </row>
    <row r="217">
      <c r="D217" s="8"/>
      <c r="S217" s="8"/>
      <c r="T217" s="8"/>
    </row>
    <row r="218">
      <c r="D218" s="8"/>
      <c r="S218" s="8"/>
      <c r="T218" s="8"/>
    </row>
    <row r="219">
      <c r="D219" s="8"/>
      <c r="S219" s="8"/>
      <c r="T219" s="8"/>
    </row>
    <row r="220">
      <c r="D220" s="8"/>
      <c r="S220" s="8"/>
      <c r="T220" s="8"/>
    </row>
    <row r="221">
      <c r="D221" s="8"/>
      <c r="S221" s="8"/>
      <c r="T221" s="8"/>
    </row>
    <row r="222">
      <c r="D222" s="8"/>
      <c r="S222" s="8"/>
      <c r="T222" s="8"/>
    </row>
    <row r="223">
      <c r="D223" s="8"/>
      <c r="S223" s="8"/>
      <c r="T223" s="8"/>
    </row>
    <row r="224">
      <c r="D224" s="8"/>
      <c r="S224" s="8"/>
      <c r="T224" s="8"/>
    </row>
    <row r="225">
      <c r="D225" s="8"/>
      <c r="S225" s="8"/>
      <c r="T225" s="8"/>
    </row>
    <row r="226">
      <c r="D226" s="8"/>
      <c r="S226" s="8"/>
      <c r="T226" s="8"/>
    </row>
    <row r="227">
      <c r="D227" s="8"/>
      <c r="S227" s="8"/>
      <c r="T227" s="8"/>
    </row>
    <row r="228">
      <c r="D228" s="8"/>
      <c r="S228" s="8"/>
      <c r="T228" s="8"/>
    </row>
    <row r="229">
      <c r="D229" s="8"/>
      <c r="S229" s="8"/>
      <c r="T229" s="8"/>
    </row>
    <row r="230">
      <c r="D230" s="8"/>
      <c r="S230" s="8"/>
      <c r="T230" s="8"/>
    </row>
    <row r="231">
      <c r="D231" s="8"/>
      <c r="S231" s="8"/>
      <c r="T231" s="8"/>
    </row>
    <row r="232">
      <c r="D232" s="8"/>
      <c r="S232" s="8"/>
      <c r="T232" s="8"/>
    </row>
    <row r="233">
      <c r="D233" s="8"/>
      <c r="S233" s="8"/>
      <c r="T233" s="8"/>
    </row>
    <row r="234">
      <c r="D234" s="8"/>
      <c r="S234" s="8"/>
      <c r="T234" s="8"/>
    </row>
    <row r="235">
      <c r="D235" s="8"/>
      <c r="S235" s="8"/>
      <c r="T235" s="8"/>
    </row>
    <row r="236">
      <c r="D236" s="8"/>
      <c r="S236" s="8"/>
      <c r="T236" s="8"/>
    </row>
    <row r="237">
      <c r="D237" s="8"/>
      <c r="S237" s="8"/>
      <c r="T237" s="8"/>
    </row>
    <row r="238">
      <c r="D238" s="8"/>
      <c r="S238" s="8"/>
      <c r="T238" s="8"/>
    </row>
    <row r="239">
      <c r="D239" s="8"/>
      <c r="S239" s="8"/>
      <c r="T239" s="8"/>
    </row>
    <row r="240">
      <c r="D240" s="8"/>
      <c r="S240" s="8"/>
      <c r="T240" s="8"/>
    </row>
    <row r="241">
      <c r="D241" s="8"/>
      <c r="S241" s="8"/>
      <c r="T241" s="8"/>
    </row>
    <row r="242">
      <c r="D242" s="8"/>
      <c r="S242" s="8"/>
      <c r="T242" s="8"/>
    </row>
    <row r="243">
      <c r="D243" s="8"/>
      <c r="S243" s="8"/>
      <c r="T243" s="8"/>
    </row>
    <row r="244">
      <c r="D244" s="8"/>
      <c r="S244" s="8"/>
      <c r="T244" s="8"/>
    </row>
    <row r="245">
      <c r="D245" s="8"/>
      <c r="S245" s="8"/>
      <c r="T245" s="8"/>
    </row>
    <row r="246">
      <c r="D246" s="8"/>
      <c r="S246" s="8"/>
      <c r="T246" s="8"/>
    </row>
    <row r="247">
      <c r="D247" s="8"/>
      <c r="S247" s="8"/>
      <c r="T247" s="8"/>
    </row>
    <row r="248">
      <c r="D248" s="8"/>
      <c r="S248" s="8"/>
      <c r="T248" s="8"/>
    </row>
    <row r="249">
      <c r="D249" s="8"/>
      <c r="S249" s="8"/>
      <c r="T249" s="8"/>
    </row>
    <row r="250">
      <c r="D250" s="8"/>
      <c r="S250" s="8"/>
      <c r="T250" s="8"/>
    </row>
    <row r="251">
      <c r="D251" s="8"/>
      <c r="S251" s="8"/>
      <c r="T251" s="8"/>
    </row>
    <row r="252">
      <c r="D252" s="8"/>
      <c r="S252" s="8"/>
      <c r="T252" s="8"/>
    </row>
    <row r="253">
      <c r="D253" s="8"/>
      <c r="S253" s="8"/>
      <c r="T253" s="8"/>
    </row>
    <row r="254">
      <c r="D254" s="8"/>
      <c r="S254" s="8"/>
      <c r="T254" s="8"/>
    </row>
    <row r="255">
      <c r="D255" s="8"/>
      <c r="S255" s="8"/>
      <c r="T255" s="8"/>
    </row>
    <row r="256">
      <c r="D256" s="8"/>
      <c r="S256" s="8"/>
      <c r="T256" s="8"/>
    </row>
    <row r="257">
      <c r="D257" s="8"/>
      <c r="S257" s="8"/>
      <c r="T257" s="8"/>
    </row>
    <row r="258">
      <c r="D258" s="8"/>
      <c r="S258" s="8"/>
      <c r="T258" s="8"/>
    </row>
    <row r="259">
      <c r="D259" s="8"/>
      <c r="S259" s="8"/>
      <c r="T259" s="8"/>
    </row>
    <row r="260">
      <c r="D260" s="8"/>
      <c r="S260" s="8"/>
      <c r="T260" s="8"/>
    </row>
    <row r="261">
      <c r="D261" s="8"/>
      <c r="S261" s="8"/>
      <c r="T261" s="8"/>
    </row>
    <row r="262">
      <c r="D262" s="8"/>
      <c r="S262" s="8"/>
      <c r="T262" s="8"/>
    </row>
    <row r="263">
      <c r="D263" s="8"/>
      <c r="S263" s="8"/>
      <c r="T263" s="8"/>
    </row>
    <row r="264">
      <c r="D264" s="8"/>
      <c r="S264" s="8"/>
      <c r="T264" s="8"/>
    </row>
    <row r="265">
      <c r="D265" s="8"/>
      <c r="S265" s="8"/>
      <c r="T265" s="8"/>
    </row>
    <row r="266">
      <c r="D266" s="8"/>
      <c r="S266" s="8"/>
      <c r="T266" s="8"/>
    </row>
    <row r="267">
      <c r="D267" s="8"/>
      <c r="S267" s="8"/>
      <c r="T267" s="8"/>
    </row>
    <row r="268">
      <c r="D268" s="8"/>
      <c r="S268" s="8"/>
      <c r="T268" s="8"/>
    </row>
    <row r="269">
      <c r="D269" s="8"/>
      <c r="S269" s="8"/>
      <c r="T269" s="8"/>
    </row>
    <row r="270">
      <c r="D270" s="8"/>
      <c r="S270" s="8"/>
      <c r="T270" s="8"/>
    </row>
    <row r="271">
      <c r="D271" s="8"/>
      <c r="S271" s="8"/>
      <c r="T271" s="8"/>
    </row>
    <row r="272">
      <c r="D272" s="8"/>
      <c r="S272" s="8"/>
      <c r="T272" s="8"/>
    </row>
    <row r="273">
      <c r="D273" s="8"/>
      <c r="S273" s="8"/>
      <c r="T273" s="8"/>
    </row>
    <row r="274">
      <c r="D274" s="8"/>
      <c r="S274" s="8"/>
      <c r="T274" s="8"/>
    </row>
    <row r="275">
      <c r="D275" s="8"/>
      <c r="S275" s="8"/>
      <c r="T275" s="8"/>
    </row>
    <row r="276">
      <c r="D276" s="8"/>
      <c r="S276" s="8"/>
      <c r="T276" s="8"/>
    </row>
    <row r="277">
      <c r="D277" s="8"/>
      <c r="S277" s="8"/>
      <c r="T277" s="8"/>
    </row>
    <row r="278">
      <c r="D278" s="8"/>
      <c r="S278" s="8"/>
      <c r="T278" s="8"/>
    </row>
    <row r="279">
      <c r="D279" s="8"/>
      <c r="S279" s="8"/>
      <c r="T279" s="8"/>
    </row>
    <row r="280">
      <c r="D280" s="8"/>
      <c r="S280" s="8"/>
      <c r="T280" s="8"/>
    </row>
    <row r="281">
      <c r="D281" s="8"/>
      <c r="S281" s="8"/>
      <c r="T281" s="8"/>
    </row>
    <row r="282">
      <c r="D282" s="8"/>
      <c r="S282" s="8"/>
      <c r="T282" s="8"/>
    </row>
    <row r="283">
      <c r="D283" s="8"/>
      <c r="S283" s="8"/>
      <c r="T283" s="8"/>
    </row>
    <row r="284">
      <c r="D284" s="8"/>
      <c r="S284" s="8"/>
      <c r="T284" s="8"/>
    </row>
    <row r="285">
      <c r="D285" s="8"/>
      <c r="S285" s="8"/>
      <c r="T285" s="8"/>
    </row>
    <row r="286">
      <c r="D286" s="8"/>
      <c r="S286" s="8"/>
      <c r="T286" s="8"/>
    </row>
    <row r="287">
      <c r="D287" s="8"/>
      <c r="S287" s="8"/>
      <c r="T287" s="8"/>
    </row>
    <row r="288">
      <c r="D288" s="8"/>
      <c r="S288" s="8"/>
      <c r="T288" s="8"/>
    </row>
    <row r="289">
      <c r="D289" s="8"/>
      <c r="S289" s="8"/>
      <c r="T289" s="8"/>
    </row>
    <row r="290">
      <c r="D290" s="8"/>
      <c r="S290" s="8"/>
      <c r="T290" s="8"/>
    </row>
    <row r="291">
      <c r="D291" s="8"/>
      <c r="S291" s="8"/>
      <c r="T291" s="8"/>
    </row>
    <row r="292">
      <c r="D292" s="8"/>
      <c r="S292" s="8"/>
      <c r="T292" s="8"/>
    </row>
    <row r="293">
      <c r="D293" s="8"/>
      <c r="S293" s="8"/>
      <c r="T293" s="8"/>
    </row>
    <row r="294">
      <c r="D294" s="8"/>
      <c r="S294" s="8"/>
      <c r="T294" s="8"/>
    </row>
    <row r="295">
      <c r="D295" s="8"/>
      <c r="S295" s="8"/>
      <c r="T295" s="8"/>
    </row>
    <row r="296">
      <c r="D296" s="8"/>
      <c r="S296" s="8"/>
      <c r="T296" s="8"/>
    </row>
    <row r="297">
      <c r="D297" s="8"/>
      <c r="S297" s="8"/>
      <c r="T297" s="8"/>
    </row>
    <row r="298">
      <c r="D298" s="8"/>
      <c r="S298" s="8"/>
      <c r="T298" s="8"/>
    </row>
    <row r="299">
      <c r="D299" s="8"/>
      <c r="S299" s="8"/>
      <c r="T299" s="8"/>
    </row>
    <row r="300">
      <c r="D300" s="8"/>
      <c r="S300" s="8"/>
      <c r="T300" s="8"/>
    </row>
    <row r="301">
      <c r="D301" s="8"/>
      <c r="S301" s="8"/>
      <c r="T301" s="8"/>
    </row>
    <row r="302">
      <c r="D302" s="8"/>
      <c r="S302" s="8"/>
      <c r="T302" s="8"/>
    </row>
    <row r="303">
      <c r="D303" s="8"/>
      <c r="S303" s="8"/>
      <c r="T303" s="8"/>
    </row>
    <row r="304">
      <c r="D304" s="8"/>
      <c r="S304" s="8"/>
      <c r="T304" s="8"/>
    </row>
    <row r="305">
      <c r="D305" s="8"/>
      <c r="S305" s="8"/>
      <c r="T305" s="8"/>
    </row>
    <row r="306">
      <c r="D306" s="8"/>
      <c r="S306" s="8"/>
      <c r="T306" s="8"/>
    </row>
    <row r="307">
      <c r="D307" s="8"/>
      <c r="S307" s="8"/>
      <c r="T307" s="8"/>
    </row>
    <row r="308">
      <c r="D308" s="8"/>
      <c r="S308" s="8"/>
      <c r="T308" s="8"/>
    </row>
    <row r="309">
      <c r="D309" s="8"/>
      <c r="S309" s="8"/>
      <c r="T309" s="8"/>
    </row>
    <row r="310">
      <c r="D310" s="8"/>
      <c r="S310" s="8"/>
      <c r="T310" s="8"/>
    </row>
    <row r="311">
      <c r="D311" s="8"/>
      <c r="S311" s="8"/>
      <c r="T311" s="8"/>
    </row>
    <row r="312">
      <c r="D312" s="8"/>
      <c r="S312" s="8"/>
      <c r="T312" s="8"/>
    </row>
    <row r="313">
      <c r="D313" s="8"/>
      <c r="S313" s="8"/>
      <c r="T313" s="8"/>
    </row>
    <row r="314">
      <c r="D314" s="8"/>
      <c r="S314" s="8"/>
      <c r="T314" s="8"/>
    </row>
    <row r="315">
      <c r="D315" s="8"/>
      <c r="S315" s="8"/>
      <c r="T315" s="8"/>
    </row>
    <row r="316">
      <c r="D316" s="8"/>
      <c r="S316" s="8"/>
      <c r="T316" s="8"/>
    </row>
    <row r="317">
      <c r="D317" s="8"/>
      <c r="S317" s="8"/>
      <c r="T317" s="8"/>
    </row>
    <row r="318">
      <c r="D318" s="8"/>
      <c r="S318" s="8"/>
      <c r="T318" s="8"/>
    </row>
    <row r="319">
      <c r="D319" s="8"/>
      <c r="S319" s="8"/>
      <c r="T319" s="8"/>
    </row>
    <row r="320">
      <c r="D320" s="8"/>
      <c r="S320" s="8"/>
      <c r="T320" s="8"/>
    </row>
    <row r="321">
      <c r="D321" s="8"/>
      <c r="S321" s="8"/>
      <c r="T321" s="8"/>
    </row>
    <row r="322">
      <c r="D322" s="8"/>
      <c r="S322" s="8"/>
      <c r="T322" s="8"/>
    </row>
    <row r="323">
      <c r="D323" s="8"/>
      <c r="S323" s="8"/>
      <c r="T323" s="8"/>
    </row>
    <row r="324">
      <c r="D324" s="8"/>
      <c r="S324" s="8"/>
      <c r="T324" s="8"/>
    </row>
    <row r="325">
      <c r="D325" s="8"/>
      <c r="S325" s="8"/>
      <c r="T325" s="8"/>
    </row>
    <row r="326">
      <c r="D326" s="8"/>
      <c r="S326" s="8"/>
      <c r="T326" s="8"/>
    </row>
    <row r="327">
      <c r="D327" s="8"/>
      <c r="S327" s="8"/>
      <c r="T327" s="8"/>
    </row>
    <row r="328">
      <c r="D328" s="8"/>
      <c r="S328" s="8"/>
      <c r="T328" s="8"/>
    </row>
    <row r="329">
      <c r="D329" s="8"/>
      <c r="S329" s="8"/>
      <c r="T329" s="8"/>
    </row>
    <row r="330">
      <c r="D330" s="8"/>
      <c r="S330" s="8"/>
      <c r="T330" s="8"/>
    </row>
    <row r="331">
      <c r="D331" s="8"/>
      <c r="S331" s="8"/>
      <c r="T331" s="8"/>
    </row>
    <row r="332">
      <c r="D332" s="8"/>
      <c r="S332" s="8"/>
      <c r="T332" s="8"/>
    </row>
    <row r="333">
      <c r="D333" s="8"/>
      <c r="S333" s="8"/>
      <c r="T333" s="8"/>
    </row>
    <row r="334">
      <c r="D334" s="8"/>
      <c r="S334" s="8"/>
      <c r="T334" s="8"/>
    </row>
    <row r="335">
      <c r="D335" s="8"/>
      <c r="S335" s="8"/>
      <c r="T335" s="8"/>
    </row>
    <row r="336">
      <c r="D336" s="8"/>
      <c r="S336" s="8"/>
      <c r="T336" s="8"/>
    </row>
    <row r="337">
      <c r="D337" s="8"/>
      <c r="S337" s="8"/>
      <c r="T337" s="8"/>
    </row>
    <row r="338">
      <c r="D338" s="8"/>
      <c r="S338" s="8"/>
      <c r="T338" s="8"/>
    </row>
    <row r="339">
      <c r="D339" s="8"/>
      <c r="S339" s="8"/>
      <c r="T339" s="8"/>
    </row>
    <row r="340">
      <c r="D340" s="8"/>
      <c r="S340" s="8"/>
      <c r="T340" s="8"/>
    </row>
    <row r="341">
      <c r="D341" s="8"/>
      <c r="S341" s="8"/>
      <c r="T341" s="8"/>
    </row>
    <row r="342">
      <c r="D342" s="8"/>
      <c r="S342" s="8"/>
      <c r="T342" s="8"/>
    </row>
    <row r="343">
      <c r="D343" s="8"/>
      <c r="S343" s="8"/>
      <c r="T343" s="8"/>
    </row>
    <row r="344">
      <c r="D344" s="8"/>
      <c r="S344" s="8"/>
      <c r="T344" s="8"/>
    </row>
    <row r="345">
      <c r="D345" s="8"/>
      <c r="S345" s="8"/>
      <c r="T345" s="8"/>
    </row>
    <row r="346">
      <c r="D346" s="8"/>
      <c r="S346" s="8"/>
      <c r="T346" s="8"/>
    </row>
    <row r="347">
      <c r="D347" s="8"/>
      <c r="S347" s="8"/>
      <c r="T347" s="8"/>
    </row>
    <row r="348">
      <c r="D348" s="8"/>
      <c r="S348" s="8"/>
      <c r="T348" s="8"/>
    </row>
    <row r="349">
      <c r="D349" s="8"/>
      <c r="S349" s="8"/>
      <c r="T349" s="8"/>
    </row>
    <row r="350">
      <c r="D350" s="8"/>
      <c r="S350" s="8"/>
      <c r="T350" s="8"/>
    </row>
    <row r="351">
      <c r="D351" s="8"/>
      <c r="S351" s="8"/>
      <c r="T351" s="8"/>
    </row>
    <row r="352">
      <c r="D352" s="8"/>
      <c r="S352" s="8"/>
      <c r="T352" s="8"/>
    </row>
    <row r="353">
      <c r="D353" s="8"/>
      <c r="S353" s="8"/>
      <c r="T353" s="8"/>
    </row>
    <row r="354">
      <c r="D354" s="8"/>
      <c r="S354" s="8"/>
      <c r="T354" s="8"/>
    </row>
    <row r="355">
      <c r="D355" s="8"/>
      <c r="S355" s="8"/>
      <c r="T355" s="8"/>
    </row>
    <row r="356">
      <c r="D356" s="8"/>
      <c r="S356" s="8"/>
      <c r="T356" s="8"/>
    </row>
    <row r="357">
      <c r="D357" s="8"/>
      <c r="S357" s="8"/>
      <c r="T357" s="8"/>
    </row>
    <row r="358">
      <c r="D358" s="8"/>
      <c r="S358" s="8"/>
      <c r="T358" s="8"/>
    </row>
    <row r="359">
      <c r="D359" s="8"/>
      <c r="S359" s="8"/>
      <c r="T359" s="8"/>
    </row>
    <row r="360">
      <c r="D360" s="8"/>
      <c r="S360" s="8"/>
      <c r="T360" s="8"/>
    </row>
    <row r="361">
      <c r="D361" s="8"/>
      <c r="S361" s="8"/>
      <c r="T361" s="8"/>
    </row>
    <row r="362">
      <c r="D362" s="8"/>
      <c r="S362" s="8"/>
      <c r="T362" s="8"/>
    </row>
    <row r="363">
      <c r="D363" s="8"/>
      <c r="S363" s="8"/>
      <c r="T363" s="8"/>
    </row>
    <row r="364">
      <c r="D364" s="8"/>
      <c r="S364" s="8"/>
      <c r="T364" s="8"/>
    </row>
    <row r="365">
      <c r="D365" s="8"/>
      <c r="S365" s="8"/>
      <c r="T365" s="8"/>
    </row>
    <row r="366">
      <c r="D366" s="8"/>
      <c r="S366" s="8"/>
      <c r="T366" s="8"/>
    </row>
    <row r="367">
      <c r="D367" s="8"/>
      <c r="S367" s="8"/>
      <c r="T367" s="8"/>
    </row>
    <row r="368">
      <c r="D368" s="8"/>
      <c r="S368" s="8"/>
      <c r="T368" s="8"/>
    </row>
    <row r="369">
      <c r="D369" s="8"/>
      <c r="S369" s="8"/>
      <c r="T369" s="8"/>
    </row>
    <row r="370">
      <c r="D370" s="8"/>
      <c r="S370" s="8"/>
      <c r="T370" s="8"/>
    </row>
    <row r="371">
      <c r="D371" s="8"/>
      <c r="S371" s="8"/>
      <c r="T371" s="8"/>
    </row>
    <row r="372">
      <c r="D372" s="8"/>
      <c r="S372" s="8"/>
      <c r="T372" s="8"/>
    </row>
    <row r="373">
      <c r="D373" s="8"/>
      <c r="S373" s="8"/>
      <c r="T373" s="8"/>
    </row>
    <row r="374">
      <c r="D374" s="8"/>
      <c r="S374" s="8"/>
      <c r="T374" s="8"/>
    </row>
    <row r="375">
      <c r="D375" s="8"/>
      <c r="S375" s="8"/>
      <c r="T375" s="8"/>
    </row>
    <row r="376">
      <c r="D376" s="8"/>
      <c r="S376" s="8"/>
      <c r="T376" s="8"/>
    </row>
    <row r="377">
      <c r="D377" s="8"/>
      <c r="S377" s="8"/>
      <c r="T377" s="8"/>
    </row>
    <row r="378">
      <c r="D378" s="8"/>
      <c r="S378" s="8"/>
      <c r="T378" s="8"/>
    </row>
    <row r="379">
      <c r="D379" s="8"/>
      <c r="S379" s="8"/>
      <c r="T379" s="8"/>
    </row>
    <row r="380">
      <c r="D380" s="8"/>
      <c r="S380" s="8"/>
      <c r="T380" s="8"/>
    </row>
    <row r="381">
      <c r="D381" s="8"/>
      <c r="S381" s="8"/>
      <c r="T381" s="8"/>
    </row>
    <row r="382">
      <c r="D382" s="8"/>
      <c r="S382" s="8"/>
      <c r="T382" s="8"/>
    </row>
    <row r="383">
      <c r="D383" s="8"/>
      <c r="S383" s="8"/>
      <c r="T383" s="8"/>
    </row>
    <row r="384">
      <c r="D384" s="8"/>
      <c r="S384" s="8"/>
      <c r="T384" s="8"/>
    </row>
    <row r="385">
      <c r="D385" s="8"/>
      <c r="S385" s="8"/>
      <c r="T385" s="8"/>
    </row>
    <row r="386">
      <c r="D386" s="8"/>
      <c r="S386" s="8"/>
      <c r="T386" s="8"/>
    </row>
    <row r="387">
      <c r="D387" s="8"/>
      <c r="S387" s="8"/>
      <c r="T387" s="8"/>
    </row>
    <row r="388">
      <c r="D388" s="8"/>
      <c r="S388" s="8"/>
      <c r="T388" s="8"/>
    </row>
    <row r="389">
      <c r="D389" s="8"/>
      <c r="S389" s="8"/>
      <c r="T389" s="8"/>
    </row>
    <row r="390">
      <c r="D390" s="8"/>
      <c r="S390" s="8"/>
      <c r="T390" s="8"/>
    </row>
    <row r="391">
      <c r="D391" s="8"/>
      <c r="S391" s="8"/>
      <c r="T391" s="8"/>
    </row>
    <row r="392">
      <c r="D392" s="8"/>
      <c r="S392" s="8"/>
      <c r="T392" s="8"/>
    </row>
    <row r="393">
      <c r="D393" s="8"/>
      <c r="S393" s="8"/>
      <c r="T393" s="8"/>
    </row>
    <row r="394">
      <c r="D394" s="8"/>
      <c r="S394" s="8"/>
      <c r="T394" s="8"/>
    </row>
    <row r="395">
      <c r="D395" s="8"/>
      <c r="S395" s="8"/>
      <c r="T395" s="8"/>
    </row>
    <row r="396">
      <c r="D396" s="8"/>
      <c r="S396" s="8"/>
      <c r="T396" s="8"/>
    </row>
    <row r="397">
      <c r="D397" s="8"/>
      <c r="S397" s="8"/>
      <c r="T397" s="8"/>
    </row>
    <row r="398">
      <c r="D398" s="8"/>
      <c r="S398" s="8"/>
      <c r="T398" s="8"/>
    </row>
    <row r="399">
      <c r="D399" s="8"/>
      <c r="S399" s="8"/>
      <c r="T399" s="8"/>
    </row>
    <row r="400">
      <c r="D400" s="8"/>
      <c r="S400" s="8"/>
      <c r="T400" s="8"/>
    </row>
    <row r="401">
      <c r="D401" s="8"/>
      <c r="S401" s="8"/>
      <c r="T401" s="8"/>
    </row>
    <row r="402">
      <c r="D402" s="8"/>
      <c r="S402" s="8"/>
      <c r="T402" s="8"/>
    </row>
    <row r="403">
      <c r="D403" s="8"/>
      <c r="S403" s="8"/>
      <c r="T403" s="8"/>
    </row>
    <row r="404">
      <c r="D404" s="8"/>
      <c r="S404" s="8"/>
      <c r="T404" s="8"/>
    </row>
    <row r="405">
      <c r="D405" s="8"/>
      <c r="S405" s="8"/>
      <c r="T405" s="8"/>
    </row>
    <row r="406">
      <c r="D406" s="8"/>
      <c r="S406" s="8"/>
      <c r="T406" s="8"/>
    </row>
    <row r="407">
      <c r="D407" s="8"/>
      <c r="S407" s="8"/>
      <c r="T407" s="8"/>
    </row>
    <row r="408">
      <c r="D408" s="8"/>
      <c r="S408" s="8"/>
      <c r="T408" s="8"/>
    </row>
    <row r="409">
      <c r="D409" s="8"/>
      <c r="S409" s="8"/>
      <c r="T409" s="8"/>
    </row>
    <row r="410">
      <c r="D410" s="8"/>
      <c r="S410" s="8"/>
      <c r="T410" s="8"/>
    </row>
    <row r="411">
      <c r="D411" s="8"/>
      <c r="S411" s="8"/>
      <c r="T411" s="8"/>
    </row>
    <row r="412">
      <c r="D412" s="8"/>
      <c r="S412" s="8"/>
      <c r="T412" s="8"/>
    </row>
    <row r="413">
      <c r="D413" s="8"/>
      <c r="S413" s="8"/>
      <c r="T413" s="8"/>
    </row>
    <row r="414">
      <c r="D414" s="8"/>
      <c r="S414" s="8"/>
      <c r="T414" s="8"/>
    </row>
    <row r="415">
      <c r="D415" s="8"/>
      <c r="S415" s="8"/>
      <c r="T415" s="8"/>
    </row>
    <row r="416">
      <c r="D416" s="8"/>
      <c r="S416" s="8"/>
      <c r="T416" s="8"/>
    </row>
    <row r="417">
      <c r="D417" s="8"/>
      <c r="S417" s="8"/>
      <c r="T417" s="8"/>
    </row>
    <row r="418">
      <c r="D418" s="8"/>
      <c r="S418" s="8"/>
      <c r="T418" s="8"/>
    </row>
    <row r="419">
      <c r="D419" s="8"/>
      <c r="S419" s="8"/>
      <c r="T419" s="8"/>
    </row>
    <row r="420">
      <c r="D420" s="8"/>
      <c r="S420" s="8"/>
      <c r="T420" s="8"/>
    </row>
    <row r="421">
      <c r="D421" s="8"/>
      <c r="S421" s="8"/>
      <c r="T421" s="8"/>
    </row>
    <row r="422">
      <c r="D422" s="8"/>
      <c r="S422" s="8"/>
      <c r="T422" s="8"/>
    </row>
    <row r="423">
      <c r="D423" s="8"/>
      <c r="S423" s="8"/>
      <c r="T423" s="8"/>
    </row>
    <row r="424">
      <c r="D424" s="8"/>
      <c r="S424" s="8"/>
      <c r="T424" s="8"/>
    </row>
    <row r="425">
      <c r="D425" s="8"/>
      <c r="S425" s="8"/>
      <c r="T425" s="8"/>
    </row>
    <row r="426">
      <c r="D426" s="8"/>
      <c r="S426" s="8"/>
      <c r="T426" s="8"/>
    </row>
    <row r="427">
      <c r="D427" s="8"/>
      <c r="S427" s="8"/>
      <c r="T427" s="8"/>
    </row>
    <row r="428">
      <c r="D428" s="8"/>
      <c r="S428" s="8"/>
      <c r="T428" s="8"/>
    </row>
    <row r="429">
      <c r="D429" s="8"/>
      <c r="S429" s="8"/>
      <c r="T429" s="8"/>
    </row>
    <row r="430">
      <c r="D430" s="8"/>
      <c r="S430" s="8"/>
      <c r="T430" s="8"/>
    </row>
    <row r="431">
      <c r="D431" s="8"/>
      <c r="S431" s="8"/>
      <c r="T431" s="8"/>
    </row>
    <row r="432">
      <c r="D432" s="8"/>
      <c r="S432" s="8"/>
      <c r="T432" s="8"/>
    </row>
    <row r="433">
      <c r="D433" s="8"/>
      <c r="S433" s="8"/>
      <c r="T433" s="8"/>
    </row>
    <row r="434">
      <c r="D434" s="8"/>
      <c r="S434" s="8"/>
      <c r="T434" s="8"/>
    </row>
    <row r="435">
      <c r="D435" s="8"/>
      <c r="S435" s="8"/>
      <c r="T435" s="8"/>
    </row>
    <row r="436">
      <c r="D436" s="8"/>
      <c r="S436" s="8"/>
      <c r="T436" s="8"/>
    </row>
    <row r="437">
      <c r="D437" s="8"/>
      <c r="S437" s="8"/>
      <c r="T437" s="8"/>
    </row>
    <row r="438">
      <c r="D438" s="8"/>
      <c r="S438" s="8"/>
      <c r="T438" s="8"/>
    </row>
    <row r="439">
      <c r="D439" s="8"/>
      <c r="S439" s="8"/>
      <c r="T439" s="8"/>
    </row>
    <row r="440">
      <c r="D440" s="8"/>
      <c r="S440" s="8"/>
      <c r="T440" s="8"/>
    </row>
    <row r="441">
      <c r="D441" s="8"/>
      <c r="S441" s="8"/>
      <c r="T441" s="8"/>
    </row>
    <row r="442">
      <c r="D442" s="8"/>
      <c r="S442" s="8"/>
      <c r="T442" s="8"/>
    </row>
    <row r="443">
      <c r="D443" s="8"/>
      <c r="S443" s="8"/>
      <c r="T443" s="8"/>
    </row>
    <row r="444">
      <c r="D444" s="8"/>
      <c r="S444" s="8"/>
      <c r="T444" s="8"/>
    </row>
    <row r="445">
      <c r="D445" s="8"/>
      <c r="S445" s="8"/>
      <c r="T445" s="8"/>
    </row>
    <row r="446">
      <c r="D446" s="8"/>
      <c r="S446" s="8"/>
      <c r="T446" s="8"/>
    </row>
    <row r="447">
      <c r="D447" s="8"/>
      <c r="S447" s="8"/>
      <c r="T447" s="8"/>
    </row>
    <row r="448">
      <c r="D448" s="8"/>
      <c r="S448" s="8"/>
      <c r="T448" s="8"/>
    </row>
    <row r="449">
      <c r="D449" s="8"/>
      <c r="S449" s="8"/>
      <c r="T449" s="8"/>
    </row>
    <row r="450">
      <c r="D450" s="8"/>
      <c r="S450" s="8"/>
      <c r="T450" s="8"/>
    </row>
    <row r="451">
      <c r="D451" s="8"/>
      <c r="S451" s="8"/>
      <c r="T451" s="8"/>
    </row>
    <row r="452">
      <c r="D452" s="8"/>
      <c r="S452" s="8"/>
      <c r="T452" s="8"/>
    </row>
    <row r="453">
      <c r="D453" s="8"/>
      <c r="S453" s="8"/>
      <c r="T453" s="8"/>
    </row>
    <row r="454">
      <c r="D454" s="8"/>
      <c r="S454" s="8"/>
      <c r="T454" s="8"/>
    </row>
    <row r="455">
      <c r="D455" s="8"/>
      <c r="S455" s="8"/>
      <c r="T455" s="8"/>
    </row>
    <row r="456">
      <c r="D456" s="8"/>
      <c r="S456" s="8"/>
      <c r="T456" s="8"/>
    </row>
    <row r="457">
      <c r="D457" s="8"/>
      <c r="S457" s="8"/>
      <c r="T457" s="8"/>
    </row>
    <row r="458">
      <c r="D458" s="8"/>
      <c r="S458" s="8"/>
      <c r="T458" s="8"/>
    </row>
    <row r="459">
      <c r="D459" s="8"/>
      <c r="S459" s="8"/>
      <c r="T459" s="8"/>
    </row>
    <row r="460">
      <c r="D460" s="8"/>
      <c r="S460" s="8"/>
      <c r="T460" s="8"/>
    </row>
    <row r="461">
      <c r="D461" s="8"/>
      <c r="S461" s="8"/>
      <c r="T461" s="8"/>
    </row>
    <row r="462">
      <c r="D462" s="8"/>
      <c r="S462" s="8"/>
      <c r="T462" s="8"/>
    </row>
    <row r="463">
      <c r="D463" s="8"/>
      <c r="S463" s="8"/>
      <c r="T463" s="8"/>
    </row>
    <row r="464">
      <c r="D464" s="8"/>
      <c r="S464" s="8"/>
      <c r="T464" s="8"/>
    </row>
    <row r="465">
      <c r="D465" s="8"/>
      <c r="S465" s="8"/>
      <c r="T465" s="8"/>
    </row>
    <row r="466">
      <c r="D466" s="8"/>
      <c r="S466" s="8"/>
      <c r="T466" s="8"/>
    </row>
    <row r="467">
      <c r="D467" s="8"/>
      <c r="S467" s="8"/>
      <c r="T467" s="8"/>
    </row>
    <row r="468">
      <c r="D468" s="8"/>
      <c r="S468" s="8"/>
      <c r="T468" s="8"/>
    </row>
    <row r="469">
      <c r="D469" s="8"/>
      <c r="S469" s="8"/>
      <c r="T469" s="8"/>
    </row>
    <row r="470">
      <c r="D470" s="8"/>
      <c r="S470" s="8"/>
      <c r="T470" s="8"/>
    </row>
    <row r="471">
      <c r="D471" s="8"/>
      <c r="S471" s="8"/>
      <c r="T471" s="8"/>
    </row>
    <row r="472">
      <c r="D472" s="8"/>
      <c r="S472" s="8"/>
      <c r="T472" s="8"/>
    </row>
    <row r="473">
      <c r="D473" s="8"/>
      <c r="S473" s="8"/>
      <c r="T473" s="8"/>
    </row>
    <row r="474">
      <c r="D474" s="8"/>
      <c r="S474" s="8"/>
      <c r="T474" s="8"/>
    </row>
    <row r="475">
      <c r="D475" s="8"/>
      <c r="S475" s="8"/>
      <c r="T475" s="8"/>
    </row>
    <row r="476">
      <c r="D476" s="8"/>
      <c r="S476" s="8"/>
      <c r="T476" s="8"/>
    </row>
    <row r="477">
      <c r="D477" s="8"/>
      <c r="S477" s="8"/>
      <c r="T477" s="8"/>
    </row>
    <row r="478">
      <c r="D478" s="8"/>
      <c r="S478" s="8"/>
      <c r="T478" s="8"/>
    </row>
    <row r="479">
      <c r="D479" s="8"/>
      <c r="S479" s="8"/>
      <c r="T479" s="8"/>
    </row>
    <row r="480">
      <c r="D480" s="8"/>
      <c r="S480" s="8"/>
      <c r="T480" s="8"/>
    </row>
    <row r="481">
      <c r="D481" s="8"/>
      <c r="S481" s="8"/>
      <c r="T481" s="8"/>
    </row>
    <row r="482">
      <c r="D482" s="8"/>
      <c r="S482" s="8"/>
      <c r="T482" s="8"/>
    </row>
    <row r="483">
      <c r="D483" s="8"/>
      <c r="S483" s="8"/>
      <c r="T483" s="8"/>
    </row>
    <row r="484">
      <c r="D484" s="8"/>
      <c r="S484" s="8"/>
      <c r="T484" s="8"/>
    </row>
    <row r="485">
      <c r="D485" s="8"/>
      <c r="S485" s="8"/>
      <c r="T485" s="8"/>
    </row>
    <row r="486">
      <c r="D486" s="8"/>
      <c r="S486" s="8"/>
      <c r="T486" s="8"/>
    </row>
    <row r="487">
      <c r="D487" s="8"/>
      <c r="S487" s="8"/>
      <c r="T487" s="8"/>
    </row>
    <row r="488">
      <c r="D488" s="8"/>
      <c r="S488" s="8"/>
      <c r="T488" s="8"/>
    </row>
    <row r="489">
      <c r="D489" s="8"/>
      <c r="S489" s="8"/>
      <c r="T489" s="8"/>
    </row>
    <row r="490">
      <c r="D490" s="8"/>
      <c r="S490" s="8"/>
      <c r="T490" s="8"/>
    </row>
    <row r="491">
      <c r="D491" s="8"/>
      <c r="S491" s="8"/>
      <c r="T491" s="8"/>
    </row>
    <row r="492">
      <c r="D492" s="8"/>
      <c r="S492" s="8"/>
      <c r="T492" s="8"/>
    </row>
    <row r="493">
      <c r="D493" s="8"/>
      <c r="S493" s="8"/>
      <c r="T493" s="8"/>
    </row>
    <row r="494">
      <c r="D494" s="8"/>
      <c r="S494" s="8"/>
      <c r="T494" s="8"/>
    </row>
    <row r="495">
      <c r="D495" s="8"/>
      <c r="S495" s="8"/>
      <c r="T495" s="8"/>
    </row>
    <row r="496">
      <c r="D496" s="8"/>
      <c r="S496" s="8"/>
      <c r="T496" s="8"/>
    </row>
    <row r="497">
      <c r="D497" s="8"/>
      <c r="S497" s="8"/>
      <c r="T497" s="8"/>
    </row>
    <row r="498">
      <c r="D498" s="8"/>
      <c r="S498" s="8"/>
      <c r="T498" s="8"/>
    </row>
    <row r="499">
      <c r="D499" s="8"/>
      <c r="S499" s="8"/>
      <c r="T499" s="8"/>
    </row>
    <row r="500">
      <c r="D500" s="8"/>
      <c r="S500" s="8"/>
      <c r="T500" s="8"/>
    </row>
    <row r="501">
      <c r="D501" s="8"/>
      <c r="S501" s="8"/>
      <c r="T501" s="8"/>
    </row>
    <row r="502">
      <c r="D502" s="8"/>
      <c r="S502" s="8"/>
      <c r="T502" s="8"/>
    </row>
    <row r="503">
      <c r="D503" s="8"/>
      <c r="S503" s="8"/>
      <c r="T503" s="8"/>
    </row>
    <row r="504">
      <c r="D504" s="8"/>
      <c r="S504" s="8"/>
      <c r="T504" s="8"/>
    </row>
    <row r="505">
      <c r="D505" s="8"/>
      <c r="S505" s="8"/>
      <c r="T505" s="8"/>
    </row>
    <row r="506">
      <c r="D506" s="8"/>
      <c r="S506" s="8"/>
      <c r="T506" s="8"/>
    </row>
    <row r="507">
      <c r="D507" s="8"/>
      <c r="S507" s="8"/>
      <c r="T507" s="8"/>
    </row>
    <row r="508">
      <c r="D508" s="8"/>
      <c r="S508" s="8"/>
      <c r="T508" s="8"/>
    </row>
    <row r="509">
      <c r="D509" s="8"/>
      <c r="S509" s="8"/>
      <c r="T509" s="8"/>
    </row>
    <row r="510">
      <c r="D510" s="8"/>
      <c r="S510" s="8"/>
      <c r="T510" s="8"/>
    </row>
    <row r="511">
      <c r="D511" s="8"/>
      <c r="S511" s="8"/>
      <c r="T511" s="8"/>
    </row>
    <row r="512">
      <c r="D512" s="8"/>
      <c r="S512" s="8"/>
      <c r="T512" s="8"/>
    </row>
    <row r="513">
      <c r="D513" s="8"/>
      <c r="S513" s="8"/>
      <c r="T513" s="8"/>
    </row>
    <row r="514">
      <c r="D514" s="8"/>
      <c r="S514" s="8"/>
      <c r="T514" s="8"/>
    </row>
    <row r="515">
      <c r="D515" s="8"/>
      <c r="S515" s="8"/>
      <c r="T515" s="8"/>
    </row>
    <row r="516">
      <c r="D516" s="8"/>
      <c r="S516" s="8"/>
      <c r="T516" s="8"/>
    </row>
    <row r="517">
      <c r="D517" s="8"/>
      <c r="S517" s="8"/>
      <c r="T517" s="8"/>
    </row>
    <row r="518">
      <c r="D518" s="8"/>
      <c r="S518" s="8"/>
      <c r="T518" s="8"/>
    </row>
    <row r="519">
      <c r="D519" s="8"/>
      <c r="S519" s="8"/>
      <c r="T519" s="8"/>
    </row>
    <row r="520">
      <c r="D520" s="8"/>
      <c r="S520" s="8"/>
      <c r="T520" s="8"/>
    </row>
    <row r="521">
      <c r="D521" s="8"/>
      <c r="S521" s="8"/>
      <c r="T521" s="8"/>
    </row>
    <row r="522">
      <c r="D522" s="8"/>
      <c r="S522" s="8"/>
      <c r="T522" s="8"/>
    </row>
    <row r="523">
      <c r="D523" s="8"/>
      <c r="S523" s="8"/>
      <c r="T523" s="8"/>
    </row>
    <row r="524">
      <c r="D524" s="8"/>
      <c r="S524" s="8"/>
      <c r="T524" s="8"/>
    </row>
    <row r="525">
      <c r="D525" s="8"/>
      <c r="S525" s="8"/>
      <c r="T525" s="8"/>
    </row>
    <row r="526">
      <c r="D526" s="8"/>
      <c r="S526" s="8"/>
      <c r="T526" s="8"/>
    </row>
    <row r="527">
      <c r="D527" s="8"/>
      <c r="S527" s="8"/>
      <c r="T527" s="8"/>
    </row>
    <row r="528">
      <c r="D528" s="8"/>
      <c r="S528" s="8"/>
      <c r="T528" s="8"/>
    </row>
    <row r="529">
      <c r="D529" s="8"/>
      <c r="S529" s="8"/>
      <c r="T529" s="8"/>
    </row>
    <row r="530">
      <c r="D530" s="8"/>
      <c r="S530" s="8"/>
      <c r="T530" s="8"/>
    </row>
    <row r="531">
      <c r="D531" s="8"/>
      <c r="S531" s="8"/>
      <c r="T531" s="8"/>
    </row>
    <row r="532">
      <c r="D532" s="8"/>
      <c r="S532" s="8"/>
      <c r="T532" s="8"/>
    </row>
    <row r="533">
      <c r="D533" s="8"/>
      <c r="S533" s="8"/>
      <c r="T533" s="8"/>
    </row>
    <row r="534">
      <c r="D534" s="8"/>
      <c r="S534" s="8"/>
      <c r="T534" s="8"/>
    </row>
    <row r="535">
      <c r="D535" s="8"/>
      <c r="S535" s="8"/>
      <c r="T535" s="8"/>
    </row>
    <row r="536">
      <c r="D536" s="8"/>
      <c r="S536" s="8"/>
      <c r="T536" s="8"/>
    </row>
    <row r="537">
      <c r="D537" s="8"/>
      <c r="S537" s="8"/>
      <c r="T537" s="8"/>
    </row>
    <row r="538">
      <c r="D538" s="8"/>
      <c r="S538" s="8"/>
      <c r="T538" s="8"/>
    </row>
    <row r="539">
      <c r="D539" s="8"/>
      <c r="S539" s="8"/>
      <c r="T539" s="8"/>
    </row>
    <row r="540">
      <c r="D540" s="8"/>
      <c r="S540" s="8"/>
      <c r="T540" s="8"/>
    </row>
    <row r="541">
      <c r="D541" s="8"/>
      <c r="S541" s="8"/>
      <c r="T541" s="8"/>
    </row>
    <row r="542">
      <c r="D542" s="8"/>
      <c r="S542" s="8"/>
      <c r="T542" s="8"/>
    </row>
    <row r="543">
      <c r="D543" s="8"/>
      <c r="S543" s="8"/>
      <c r="T543" s="8"/>
    </row>
    <row r="544">
      <c r="D544" s="8"/>
      <c r="S544" s="8"/>
      <c r="T544" s="8"/>
    </row>
    <row r="545">
      <c r="D545" s="8"/>
      <c r="S545" s="8"/>
      <c r="T545" s="8"/>
    </row>
    <row r="546">
      <c r="D546" s="8"/>
      <c r="S546" s="8"/>
      <c r="T546" s="8"/>
    </row>
    <row r="547">
      <c r="D547" s="8"/>
      <c r="S547" s="8"/>
      <c r="T547" s="8"/>
    </row>
    <row r="548">
      <c r="D548" s="8"/>
      <c r="S548" s="8"/>
      <c r="T548" s="8"/>
    </row>
    <row r="549">
      <c r="D549" s="8"/>
      <c r="S549" s="8"/>
      <c r="T549" s="8"/>
    </row>
    <row r="550">
      <c r="D550" s="8"/>
      <c r="S550" s="8"/>
      <c r="T550" s="8"/>
    </row>
    <row r="551">
      <c r="D551" s="8"/>
      <c r="S551" s="8"/>
      <c r="T551" s="8"/>
    </row>
    <row r="552">
      <c r="D552" s="8"/>
      <c r="S552" s="8"/>
      <c r="T552" s="8"/>
    </row>
    <row r="553">
      <c r="D553" s="8"/>
      <c r="S553" s="8"/>
      <c r="T553" s="8"/>
    </row>
    <row r="554">
      <c r="D554" s="8"/>
      <c r="S554" s="8"/>
      <c r="T554" s="8"/>
    </row>
    <row r="555">
      <c r="D555" s="8"/>
      <c r="S555" s="8"/>
      <c r="T555" s="8"/>
    </row>
    <row r="556">
      <c r="D556" s="8"/>
      <c r="S556" s="8"/>
      <c r="T556" s="8"/>
    </row>
    <row r="557">
      <c r="D557" s="8"/>
      <c r="S557" s="8"/>
      <c r="T557" s="8"/>
    </row>
    <row r="558">
      <c r="D558" s="8"/>
      <c r="S558" s="8"/>
      <c r="T558" s="8"/>
    </row>
    <row r="559">
      <c r="D559" s="8"/>
      <c r="S559" s="8"/>
      <c r="T559" s="8"/>
    </row>
    <row r="560">
      <c r="D560" s="8"/>
      <c r="S560" s="8"/>
      <c r="T560" s="8"/>
    </row>
    <row r="561">
      <c r="D561" s="8"/>
      <c r="S561" s="8"/>
      <c r="T561" s="8"/>
    </row>
    <row r="562">
      <c r="D562" s="8"/>
      <c r="S562" s="8"/>
      <c r="T562" s="8"/>
    </row>
    <row r="563">
      <c r="D563" s="8"/>
      <c r="S563" s="8"/>
      <c r="T563" s="8"/>
    </row>
    <row r="564">
      <c r="D564" s="8"/>
      <c r="S564" s="8"/>
      <c r="T564" s="8"/>
    </row>
    <row r="565">
      <c r="D565" s="8"/>
      <c r="S565" s="8"/>
      <c r="T565" s="8"/>
    </row>
    <row r="566">
      <c r="D566" s="8"/>
      <c r="S566" s="8"/>
      <c r="T566" s="8"/>
    </row>
    <row r="567">
      <c r="D567" s="8"/>
      <c r="S567" s="8"/>
      <c r="T567" s="8"/>
    </row>
    <row r="568">
      <c r="D568" s="8"/>
      <c r="S568" s="8"/>
      <c r="T568" s="8"/>
    </row>
    <row r="569">
      <c r="D569" s="8"/>
      <c r="S569" s="8"/>
      <c r="T569" s="8"/>
    </row>
    <row r="570">
      <c r="D570" s="8"/>
      <c r="S570" s="8"/>
      <c r="T570" s="8"/>
    </row>
    <row r="571">
      <c r="D571" s="8"/>
      <c r="S571" s="8"/>
      <c r="T571" s="8"/>
    </row>
    <row r="572">
      <c r="D572" s="8"/>
      <c r="S572" s="8"/>
      <c r="T572" s="8"/>
    </row>
    <row r="573">
      <c r="D573" s="8"/>
      <c r="S573" s="8"/>
      <c r="T573" s="8"/>
    </row>
    <row r="574">
      <c r="D574" s="8"/>
      <c r="S574" s="8"/>
      <c r="T574" s="8"/>
    </row>
    <row r="575">
      <c r="D575" s="8"/>
      <c r="S575" s="8"/>
      <c r="T575" s="8"/>
    </row>
    <row r="576">
      <c r="D576" s="8"/>
      <c r="S576" s="8"/>
      <c r="T576" s="8"/>
    </row>
    <row r="577">
      <c r="D577" s="8"/>
      <c r="S577" s="8"/>
      <c r="T577" s="8"/>
    </row>
    <row r="578">
      <c r="D578" s="8"/>
      <c r="S578" s="8"/>
      <c r="T578" s="8"/>
    </row>
    <row r="579">
      <c r="D579" s="8"/>
      <c r="S579" s="8"/>
      <c r="T579" s="8"/>
    </row>
    <row r="580">
      <c r="D580" s="8"/>
      <c r="S580" s="8"/>
      <c r="T580" s="8"/>
    </row>
    <row r="581">
      <c r="D581" s="8"/>
      <c r="S581" s="8"/>
      <c r="T581" s="8"/>
    </row>
    <row r="582">
      <c r="D582" s="8"/>
      <c r="S582" s="8"/>
      <c r="T582" s="8"/>
    </row>
    <row r="583">
      <c r="D583" s="8"/>
      <c r="S583" s="8"/>
      <c r="T583" s="8"/>
    </row>
    <row r="584">
      <c r="D584" s="8"/>
      <c r="S584" s="8"/>
      <c r="T584" s="8"/>
    </row>
    <row r="585">
      <c r="D585" s="8"/>
      <c r="S585" s="8"/>
      <c r="T585" s="8"/>
    </row>
    <row r="586">
      <c r="D586" s="8"/>
      <c r="S586" s="8"/>
      <c r="T586" s="8"/>
    </row>
    <row r="587">
      <c r="D587" s="8"/>
      <c r="S587" s="8"/>
      <c r="T587" s="8"/>
    </row>
    <row r="588">
      <c r="D588" s="8"/>
      <c r="S588" s="8"/>
      <c r="T588" s="8"/>
    </row>
    <row r="589">
      <c r="D589" s="8"/>
      <c r="S589" s="8"/>
      <c r="T589" s="8"/>
    </row>
    <row r="590">
      <c r="D590" s="8"/>
      <c r="S590" s="8"/>
      <c r="T590" s="8"/>
    </row>
    <row r="591">
      <c r="D591" s="8"/>
      <c r="S591" s="8"/>
      <c r="T591" s="8"/>
    </row>
    <row r="592">
      <c r="D592" s="8"/>
      <c r="S592" s="8"/>
      <c r="T592" s="8"/>
    </row>
    <row r="593">
      <c r="D593" s="8"/>
      <c r="S593" s="8"/>
      <c r="T593" s="8"/>
    </row>
    <row r="594">
      <c r="D594" s="8"/>
      <c r="S594" s="8"/>
      <c r="T594" s="8"/>
    </row>
    <row r="595">
      <c r="D595" s="8"/>
      <c r="S595" s="8"/>
      <c r="T595" s="8"/>
    </row>
    <row r="596">
      <c r="D596" s="8"/>
      <c r="S596" s="8"/>
      <c r="T596" s="8"/>
    </row>
    <row r="597">
      <c r="D597" s="8"/>
      <c r="S597" s="8"/>
      <c r="T597" s="8"/>
    </row>
    <row r="598">
      <c r="D598" s="8"/>
      <c r="S598" s="8"/>
      <c r="T598" s="8"/>
    </row>
    <row r="599">
      <c r="D599" s="8"/>
      <c r="S599" s="8"/>
      <c r="T599" s="8"/>
    </row>
    <row r="600">
      <c r="D600" s="8"/>
      <c r="S600" s="8"/>
      <c r="T600" s="8"/>
    </row>
    <row r="601">
      <c r="D601" s="8"/>
      <c r="S601" s="8"/>
      <c r="T601" s="8"/>
    </row>
    <row r="602">
      <c r="D602" s="8"/>
      <c r="S602" s="8"/>
      <c r="T602" s="8"/>
    </row>
    <row r="603">
      <c r="D603" s="8"/>
      <c r="S603" s="8"/>
      <c r="T603" s="8"/>
    </row>
    <row r="604">
      <c r="D604" s="8"/>
      <c r="S604" s="8"/>
      <c r="T604" s="8"/>
    </row>
    <row r="605">
      <c r="D605" s="8"/>
      <c r="S605" s="8"/>
      <c r="T605" s="8"/>
    </row>
    <row r="606">
      <c r="D606" s="8"/>
      <c r="S606" s="8"/>
      <c r="T606" s="8"/>
    </row>
    <row r="607">
      <c r="D607" s="8"/>
      <c r="S607" s="8"/>
      <c r="T607" s="8"/>
    </row>
    <row r="608">
      <c r="D608" s="8"/>
      <c r="S608" s="8"/>
      <c r="T608" s="8"/>
    </row>
    <row r="609">
      <c r="D609" s="8"/>
      <c r="S609" s="8"/>
      <c r="T609" s="8"/>
    </row>
    <row r="610">
      <c r="D610" s="8"/>
      <c r="S610" s="8"/>
      <c r="T610" s="8"/>
    </row>
    <row r="611">
      <c r="D611" s="8"/>
      <c r="S611" s="8"/>
      <c r="T611" s="8"/>
    </row>
    <row r="612">
      <c r="D612" s="8"/>
      <c r="S612" s="8"/>
      <c r="T612" s="8"/>
    </row>
    <row r="613">
      <c r="D613" s="8"/>
      <c r="S613" s="8"/>
      <c r="T613" s="8"/>
    </row>
    <row r="614">
      <c r="D614" s="8"/>
      <c r="S614" s="8"/>
      <c r="T614" s="8"/>
    </row>
    <row r="615">
      <c r="D615" s="8"/>
      <c r="S615" s="8"/>
      <c r="T615" s="8"/>
    </row>
    <row r="616">
      <c r="D616" s="8"/>
      <c r="S616" s="8"/>
      <c r="T616" s="8"/>
    </row>
    <row r="617">
      <c r="D617" s="8"/>
      <c r="S617" s="8"/>
      <c r="T617" s="8"/>
    </row>
    <row r="618">
      <c r="D618" s="8"/>
      <c r="S618" s="8"/>
      <c r="T618" s="8"/>
    </row>
    <row r="619">
      <c r="D619" s="8"/>
      <c r="S619" s="8"/>
      <c r="T619" s="8"/>
    </row>
    <row r="620">
      <c r="D620" s="8"/>
      <c r="S620" s="8"/>
      <c r="T620" s="8"/>
    </row>
    <row r="621">
      <c r="D621" s="8"/>
      <c r="S621" s="8"/>
      <c r="T621" s="8"/>
    </row>
    <row r="622">
      <c r="D622" s="8"/>
      <c r="S622" s="8"/>
      <c r="T622" s="8"/>
    </row>
    <row r="623">
      <c r="D623" s="8"/>
      <c r="S623" s="8"/>
      <c r="T623" s="8"/>
    </row>
    <row r="624">
      <c r="D624" s="8"/>
      <c r="S624" s="8"/>
      <c r="T624" s="8"/>
    </row>
    <row r="625">
      <c r="D625" s="8"/>
      <c r="S625" s="8"/>
      <c r="T625" s="8"/>
    </row>
    <row r="626">
      <c r="D626" s="8"/>
      <c r="S626" s="8"/>
      <c r="T626" s="8"/>
    </row>
    <row r="627">
      <c r="D627" s="8"/>
      <c r="S627" s="8"/>
      <c r="T627" s="8"/>
    </row>
    <row r="628">
      <c r="D628" s="8"/>
      <c r="S628" s="8"/>
      <c r="T628" s="8"/>
    </row>
    <row r="629">
      <c r="D629" s="8"/>
      <c r="S629" s="8"/>
      <c r="T629" s="8"/>
    </row>
    <row r="630">
      <c r="D630" s="8"/>
      <c r="S630" s="8"/>
      <c r="T630" s="8"/>
    </row>
    <row r="631">
      <c r="D631" s="8"/>
      <c r="S631" s="8"/>
      <c r="T631" s="8"/>
    </row>
    <row r="632">
      <c r="D632" s="8"/>
      <c r="S632" s="8"/>
      <c r="T632" s="8"/>
    </row>
    <row r="633">
      <c r="D633" s="8"/>
      <c r="S633" s="8"/>
      <c r="T633" s="8"/>
    </row>
    <row r="634">
      <c r="D634" s="8"/>
      <c r="S634" s="8"/>
      <c r="T634" s="8"/>
    </row>
    <row r="635">
      <c r="D635" s="8"/>
      <c r="S635" s="8"/>
      <c r="T635" s="8"/>
    </row>
    <row r="636">
      <c r="D636" s="8"/>
      <c r="S636" s="8"/>
      <c r="T636" s="8"/>
    </row>
    <row r="637">
      <c r="D637" s="8"/>
      <c r="S637" s="8"/>
      <c r="T637" s="8"/>
    </row>
    <row r="638">
      <c r="D638" s="8"/>
      <c r="S638" s="8"/>
      <c r="T638" s="8"/>
    </row>
    <row r="639">
      <c r="D639" s="8"/>
      <c r="S639" s="8"/>
      <c r="T639" s="8"/>
    </row>
    <row r="640">
      <c r="D640" s="8"/>
      <c r="S640" s="8"/>
      <c r="T640" s="8"/>
    </row>
    <row r="641">
      <c r="D641" s="8"/>
      <c r="S641" s="8"/>
      <c r="T641" s="8"/>
    </row>
    <row r="642">
      <c r="D642" s="8"/>
      <c r="S642" s="8"/>
      <c r="T642" s="8"/>
    </row>
    <row r="643">
      <c r="D643" s="8"/>
      <c r="S643" s="8"/>
      <c r="T643" s="8"/>
    </row>
    <row r="644">
      <c r="D644" s="8"/>
      <c r="S644" s="8"/>
      <c r="T644" s="8"/>
    </row>
    <row r="645">
      <c r="D645" s="8"/>
      <c r="S645" s="8"/>
      <c r="T645" s="8"/>
    </row>
    <row r="646">
      <c r="D646" s="8"/>
      <c r="S646" s="8"/>
      <c r="T646" s="8"/>
    </row>
    <row r="647">
      <c r="D647" s="8"/>
      <c r="S647" s="8"/>
      <c r="T647" s="8"/>
    </row>
    <row r="648">
      <c r="D648" s="8"/>
      <c r="S648" s="8"/>
      <c r="T648" s="8"/>
    </row>
    <row r="649">
      <c r="D649" s="8"/>
      <c r="S649" s="8"/>
      <c r="T649" s="8"/>
    </row>
    <row r="650">
      <c r="D650" s="8"/>
      <c r="S650" s="8"/>
      <c r="T650" s="8"/>
    </row>
    <row r="651">
      <c r="D651" s="8"/>
      <c r="S651" s="8"/>
      <c r="T651" s="8"/>
    </row>
    <row r="652">
      <c r="D652" s="8"/>
      <c r="S652" s="8"/>
      <c r="T652" s="8"/>
    </row>
    <row r="653">
      <c r="D653" s="8"/>
      <c r="S653" s="8"/>
      <c r="T653" s="8"/>
    </row>
    <row r="654">
      <c r="D654" s="8"/>
      <c r="S654" s="8"/>
      <c r="T654" s="8"/>
    </row>
    <row r="655">
      <c r="D655" s="8"/>
      <c r="S655" s="8"/>
      <c r="T655" s="8"/>
    </row>
    <row r="656">
      <c r="D656" s="8"/>
      <c r="S656" s="8"/>
      <c r="T656" s="8"/>
    </row>
    <row r="657">
      <c r="D657" s="8"/>
      <c r="S657" s="8"/>
      <c r="T657" s="8"/>
    </row>
    <row r="658">
      <c r="D658" s="8"/>
      <c r="S658" s="8"/>
      <c r="T658" s="8"/>
    </row>
    <row r="659">
      <c r="D659" s="8"/>
      <c r="S659" s="8"/>
      <c r="T659" s="8"/>
    </row>
    <row r="660">
      <c r="D660" s="8"/>
      <c r="S660" s="8"/>
      <c r="T660" s="8"/>
    </row>
    <row r="661">
      <c r="D661" s="8"/>
      <c r="S661" s="8"/>
      <c r="T661" s="8"/>
    </row>
    <row r="662">
      <c r="D662" s="8"/>
      <c r="S662" s="8"/>
      <c r="T662" s="8"/>
    </row>
    <row r="663">
      <c r="D663" s="8"/>
      <c r="S663" s="8"/>
      <c r="T663" s="8"/>
    </row>
    <row r="664">
      <c r="D664" s="8"/>
      <c r="S664" s="8"/>
      <c r="T664" s="8"/>
    </row>
    <row r="665">
      <c r="D665" s="8"/>
      <c r="S665" s="8"/>
      <c r="T665" s="8"/>
    </row>
    <row r="666">
      <c r="D666" s="8"/>
      <c r="S666" s="8"/>
      <c r="T666" s="8"/>
    </row>
    <row r="667">
      <c r="D667" s="8"/>
      <c r="S667" s="8"/>
      <c r="T667" s="8"/>
    </row>
    <row r="668">
      <c r="D668" s="8"/>
      <c r="S668" s="8"/>
      <c r="T668" s="8"/>
    </row>
    <row r="669">
      <c r="D669" s="8"/>
      <c r="S669" s="8"/>
      <c r="T669" s="8"/>
    </row>
    <row r="670">
      <c r="D670" s="8"/>
      <c r="S670" s="8"/>
      <c r="T670" s="8"/>
    </row>
    <row r="671">
      <c r="D671" s="8"/>
      <c r="S671" s="8"/>
      <c r="T671" s="8"/>
    </row>
    <row r="672">
      <c r="D672" s="8"/>
      <c r="S672" s="8"/>
      <c r="T672" s="8"/>
    </row>
    <row r="673">
      <c r="D673" s="8"/>
      <c r="S673" s="8"/>
      <c r="T673" s="8"/>
    </row>
    <row r="674">
      <c r="D674" s="8"/>
      <c r="S674" s="8"/>
      <c r="T674" s="8"/>
    </row>
    <row r="675">
      <c r="D675" s="8"/>
      <c r="S675" s="8"/>
      <c r="T675" s="8"/>
    </row>
    <row r="676">
      <c r="D676" s="8"/>
      <c r="S676" s="8"/>
      <c r="T676" s="8"/>
    </row>
    <row r="677">
      <c r="D677" s="8"/>
      <c r="S677" s="8"/>
      <c r="T677" s="8"/>
    </row>
    <row r="678">
      <c r="D678" s="8"/>
      <c r="S678" s="8"/>
      <c r="T678" s="8"/>
    </row>
    <row r="679">
      <c r="D679" s="8"/>
      <c r="S679" s="8"/>
      <c r="T679" s="8"/>
    </row>
    <row r="680">
      <c r="D680" s="8"/>
      <c r="S680" s="8"/>
      <c r="T680" s="8"/>
    </row>
    <row r="681">
      <c r="D681" s="8"/>
      <c r="S681" s="8"/>
      <c r="T681" s="8"/>
    </row>
    <row r="682">
      <c r="D682" s="8"/>
      <c r="S682" s="8"/>
      <c r="T682" s="8"/>
    </row>
    <row r="683">
      <c r="D683" s="8"/>
      <c r="S683" s="8"/>
      <c r="T683" s="8"/>
    </row>
    <row r="684">
      <c r="D684" s="8"/>
      <c r="S684" s="8"/>
      <c r="T684" s="8"/>
    </row>
    <row r="685">
      <c r="D685" s="8"/>
      <c r="S685" s="8"/>
      <c r="T685" s="8"/>
    </row>
    <row r="686">
      <c r="D686" s="8"/>
      <c r="S686" s="8"/>
      <c r="T686" s="8"/>
    </row>
    <row r="687">
      <c r="D687" s="8"/>
      <c r="S687" s="8"/>
      <c r="T687" s="8"/>
    </row>
    <row r="688">
      <c r="D688" s="8"/>
      <c r="S688" s="8"/>
      <c r="T688" s="8"/>
    </row>
    <row r="689">
      <c r="D689" s="8"/>
      <c r="S689" s="8"/>
      <c r="T689" s="8"/>
    </row>
    <row r="690">
      <c r="D690" s="8"/>
      <c r="S690" s="8"/>
      <c r="T690" s="8"/>
    </row>
    <row r="691">
      <c r="D691" s="8"/>
      <c r="S691" s="8"/>
      <c r="T691" s="8"/>
    </row>
    <row r="692">
      <c r="D692" s="8"/>
      <c r="S692" s="8"/>
      <c r="T692" s="8"/>
    </row>
    <row r="693">
      <c r="D693" s="8"/>
      <c r="S693" s="8"/>
      <c r="T693" s="8"/>
    </row>
    <row r="694">
      <c r="D694" s="8"/>
      <c r="S694" s="8"/>
      <c r="T694" s="8"/>
    </row>
    <row r="695">
      <c r="D695" s="8"/>
      <c r="S695" s="8"/>
      <c r="T695" s="8"/>
    </row>
    <row r="696">
      <c r="D696" s="8"/>
      <c r="S696" s="8"/>
      <c r="T696" s="8"/>
    </row>
    <row r="697">
      <c r="D697" s="8"/>
      <c r="S697" s="8"/>
      <c r="T697" s="8"/>
    </row>
    <row r="698">
      <c r="D698" s="8"/>
      <c r="S698" s="8"/>
      <c r="T698" s="8"/>
    </row>
    <row r="699">
      <c r="D699" s="8"/>
      <c r="S699" s="8"/>
      <c r="T699" s="8"/>
    </row>
    <row r="700">
      <c r="D700" s="8"/>
      <c r="S700" s="8"/>
      <c r="T700" s="8"/>
    </row>
    <row r="701">
      <c r="D701" s="8"/>
      <c r="S701" s="8"/>
      <c r="T701" s="8"/>
    </row>
    <row r="702">
      <c r="D702" s="8"/>
      <c r="S702" s="8"/>
      <c r="T702" s="8"/>
    </row>
    <row r="703">
      <c r="D703" s="8"/>
      <c r="S703" s="8"/>
      <c r="T703" s="8"/>
    </row>
    <row r="704">
      <c r="D704" s="8"/>
      <c r="S704" s="8"/>
      <c r="T704" s="8"/>
    </row>
    <row r="705">
      <c r="D705" s="8"/>
      <c r="S705" s="8"/>
      <c r="T705" s="8"/>
    </row>
    <row r="706">
      <c r="D706" s="8"/>
      <c r="S706" s="8"/>
      <c r="T706" s="8"/>
    </row>
    <row r="707">
      <c r="D707" s="8"/>
      <c r="S707" s="8"/>
      <c r="T707" s="8"/>
    </row>
    <row r="708">
      <c r="D708" s="8"/>
      <c r="S708" s="8"/>
      <c r="T708" s="8"/>
    </row>
    <row r="709">
      <c r="D709" s="8"/>
      <c r="S709" s="8"/>
      <c r="T709" s="8"/>
    </row>
    <row r="710">
      <c r="D710" s="8"/>
      <c r="S710" s="8"/>
      <c r="T710" s="8"/>
    </row>
    <row r="711">
      <c r="D711" s="8"/>
      <c r="S711" s="8"/>
      <c r="T711" s="8"/>
    </row>
    <row r="712">
      <c r="D712" s="8"/>
      <c r="S712" s="8"/>
      <c r="T712" s="8"/>
    </row>
    <row r="713">
      <c r="D713" s="8"/>
      <c r="S713" s="8"/>
      <c r="T713" s="8"/>
    </row>
    <row r="714">
      <c r="D714" s="8"/>
      <c r="S714" s="8"/>
      <c r="T714" s="8"/>
    </row>
    <row r="715">
      <c r="D715" s="8"/>
      <c r="S715" s="8"/>
      <c r="T715" s="8"/>
    </row>
    <row r="716">
      <c r="D716" s="8"/>
      <c r="S716" s="8"/>
      <c r="T716" s="8"/>
    </row>
    <row r="717">
      <c r="D717" s="8"/>
      <c r="S717" s="8"/>
      <c r="T717" s="8"/>
    </row>
    <row r="718">
      <c r="D718" s="8"/>
      <c r="S718" s="8"/>
      <c r="T718" s="8"/>
    </row>
    <row r="719">
      <c r="D719" s="8"/>
      <c r="S719" s="8"/>
      <c r="T719" s="8"/>
    </row>
    <row r="720">
      <c r="D720" s="8"/>
      <c r="S720" s="8"/>
      <c r="T720" s="8"/>
    </row>
    <row r="721">
      <c r="D721" s="8"/>
      <c r="S721" s="8"/>
      <c r="T721" s="8"/>
    </row>
    <row r="722">
      <c r="D722" s="8"/>
      <c r="S722" s="8"/>
      <c r="T722" s="8"/>
    </row>
    <row r="723">
      <c r="D723" s="8"/>
      <c r="S723" s="8"/>
      <c r="T723" s="8"/>
    </row>
    <row r="724">
      <c r="D724" s="8"/>
      <c r="S724" s="8"/>
      <c r="T724" s="8"/>
    </row>
    <row r="725">
      <c r="D725" s="8"/>
      <c r="S725" s="8"/>
      <c r="T725" s="8"/>
    </row>
    <row r="726">
      <c r="D726" s="8"/>
      <c r="S726" s="8"/>
      <c r="T726" s="8"/>
    </row>
    <row r="727">
      <c r="D727" s="8"/>
      <c r="S727" s="8"/>
      <c r="T727" s="8"/>
    </row>
    <row r="728">
      <c r="D728" s="8"/>
      <c r="S728" s="8"/>
      <c r="T728" s="8"/>
    </row>
    <row r="729">
      <c r="D729" s="8"/>
      <c r="S729" s="8"/>
      <c r="T729" s="8"/>
    </row>
    <row r="730">
      <c r="D730" s="8"/>
      <c r="S730" s="8"/>
      <c r="T730" s="8"/>
    </row>
    <row r="731">
      <c r="D731" s="8"/>
      <c r="S731" s="8"/>
      <c r="T731" s="8"/>
    </row>
    <row r="732">
      <c r="D732" s="8"/>
      <c r="S732" s="8"/>
      <c r="T732" s="8"/>
    </row>
    <row r="733">
      <c r="D733" s="8"/>
      <c r="S733" s="8"/>
      <c r="T733" s="8"/>
    </row>
    <row r="734">
      <c r="D734" s="8"/>
      <c r="S734" s="8"/>
      <c r="T734" s="8"/>
    </row>
    <row r="735">
      <c r="D735" s="8"/>
      <c r="S735" s="8"/>
      <c r="T735" s="8"/>
    </row>
    <row r="736">
      <c r="D736" s="8"/>
      <c r="S736" s="8"/>
      <c r="T736" s="8"/>
    </row>
    <row r="737">
      <c r="D737" s="8"/>
      <c r="S737" s="8"/>
      <c r="T737" s="8"/>
    </row>
    <row r="738">
      <c r="D738" s="8"/>
      <c r="S738" s="8"/>
      <c r="T738" s="8"/>
    </row>
    <row r="739">
      <c r="D739" s="8"/>
      <c r="S739" s="8"/>
      <c r="T739" s="8"/>
    </row>
    <row r="740">
      <c r="D740" s="8"/>
      <c r="S740" s="8"/>
      <c r="T740" s="8"/>
    </row>
    <row r="741">
      <c r="D741" s="8"/>
      <c r="S741" s="8"/>
      <c r="T741" s="8"/>
    </row>
    <row r="742">
      <c r="D742" s="8"/>
      <c r="S742" s="8"/>
      <c r="T742" s="8"/>
    </row>
    <row r="743">
      <c r="D743" s="8"/>
      <c r="S743" s="8"/>
      <c r="T743" s="8"/>
    </row>
    <row r="744">
      <c r="D744" s="8"/>
      <c r="S744" s="8"/>
      <c r="T744" s="8"/>
    </row>
    <row r="745">
      <c r="D745" s="8"/>
      <c r="S745" s="8"/>
      <c r="T745" s="8"/>
    </row>
    <row r="746">
      <c r="D746" s="8"/>
      <c r="S746" s="8"/>
      <c r="T746" s="8"/>
    </row>
    <row r="747">
      <c r="D747" s="8"/>
      <c r="S747" s="8"/>
      <c r="T747" s="8"/>
    </row>
    <row r="748">
      <c r="D748" s="8"/>
      <c r="S748" s="8"/>
      <c r="T748" s="8"/>
    </row>
    <row r="749">
      <c r="D749" s="8"/>
      <c r="S749" s="8"/>
      <c r="T749" s="8"/>
    </row>
    <row r="750">
      <c r="D750" s="8"/>
      <c r="S750" s="8"/>
      <c r="T750" s="8"/>
    </row>
    <row r="751">
      <c r="D751" s="8"/>
      <c r="S751" s="8"/>
      <c r="T751" s="8"/>
    </row>
    <row r="752">
      <c r="D752" s="8"/>
      <c r="S752" s="8"/>
      <c r="T752" s="8"/>
    </row>
    <row r="753">
      <c r="D753" s="8"/>
      <c r="S753" s="8"/>
      <c r="T753" s="8"/>
    </row>
    <row r="754">
      <c r="D754" s="8"/>
      <c r="S754" s="8"/>
      <c r="T754" s="8"/>
    </row>
    <row r="755">
      <c r="D755" s="8"/>
      <c r="S755" s="8"/>
      <c r="T755" s="8"/>
    </row>
    <row r="756">
      <c r="D756" s="8"/>
      <c r="S756" s="8"/>
      <c r="T756" s="8"/>
    </row>
    <row r="757">
      <c r="D757" s="8"/>
      <c r="S757" s="8"/>
      <c r="T757" s="8"/>
    </row>
    <row r="758">
      <c r="D758" s="8"/>
      <c r="S758" s="8"/>
      <c r="T758" s="8"/>
    </row>
    <row r="759">
      <c r="D759" s="8"/>
      <c r="S759" s="8"/>
      <c r="T759" s="8"/>
    </row>
    <row r="760">
      <c r="D760" s="8"/>
      <c r="S760" s="8"/>
      <c r="T760" s="8"/>
    </row>
    <row r="761">
      <c r="D761" s="8"/>
      <c r="S761" s="8"/>
      <c r="T761" s="8"/>
    </row>
    <row r="762">
      <c r="D762" s="8"/>
      <c r="S762" s="8"/>
      <c r="T762" s="8"/>
    </row>
    <row r="763">
      <c r="D763" s="8"/>
      <c r="S763" s="8"/>
      <c r="T763" s="8"/>
    </row>
    <row r="764">
      <c r="D764" s="8"/>
      <c r="S764" s="8"/>
      <c r="T764" s="8"/>
    </row>
    <row r="765">
      <c r="D765" s="8"/>
      <c r="S765" s="8"/>
      <c r="T765" s="8"/>
    </row>
    <row r="766">
      <c r="D766" s="8"/>
      <c r="S766" s="8"/>
      <c r="T766" s="8"/>
    </row>
    <row r="767">
      <c r="D767" s="8"/>
      <c r="S767" s="8"/>
      <c r="T767" s="8"/>
    </row>
    <row r="768">
      <c r="D768" s="8"/>
      <c r="S768" s="8"/>
      <c r="T768" s="8"/>
    </row>
    <row r="769">
      <c r="D769" s="8"/>
      <c r="S769" s="8"/>
      <c r="T769" s="8"/>
    </row>
    <row r="770">
      <c r="D770" s="8"/>
      <c r="S770" s="8"/>
      <c r="T770" s="8"/>
    </row>
    <row r="771">
      <c r="D771" s="8"/>
      <c r="S771" s="8"/>
      <c r="T771" s="8"/>
    </row>
    <row r="772">
      <c r="D772" s="8"/>
      <c r="S772" s="8"/>
      <c r="T772" s="8"/>
    </row>
    <row r="773">
      <c r="D773" s="8"/>
      <c r="S773" s="8"/>
      <c r="T773" s="8"/>
    </row>
    <row r="774">
      <c r="D774" s="8"/>
      <c r="S774" s="8"/>
      <c r="T774" s="8"/>
    </row>
    <row r="775">
      <c r="D775" s="8"/>
      <c r="S775" s="8"/>
      <c r="T775" s="8"/>
    </row>
    <row r="776">
      <c r="D776" s="8"/>
      <c r="S776" s="8"/>
      <c r="T776" s="8"/>
    </row>
    <row r="777">
      <c r="D777" s="8"/>
      <c r="S777" s="8"/>
      <c r="T777" s="8"/>
    </row>
    <row r="778">
      <c r="D778" s="8"/>
      <c r="S778" s="8"/>
      <c r="T778" s="8"/>
    </row>
    <row r="779">
      <c r="D779" s="8"/>
      <c r="S779" s="8"/>
      <c r="T779" s="8"/>
    </row>
    <row r="780">
      <c r="D780" s="8"/>
      <c r="S780" s="8"/>
      <c r="T780" s="8"/>
    </row>
    <row r="781">
      <c r="D781" s="8"/>
      <c r="S781" s="8"/>
      <c r="T781" s="8"/>
    </row>
    <row r="782">
      <c r="D782" s="8"/>
      <c r="S782" s="8"/>
      <c r="T782" s="8"/>
    </row>
    <row r="783">
      <c r="D783" s="8"/>
      <c r="S783" s="8"/>
      <c r="T783" s="8"/>
    </row>
    <row r="784">
      <c r="D784" s="8"/>
      <c r="S784" s="8"/>
      <c r="T784" s="8"/>
    </row>
    <row r="785">
      <c r="D785" s="8"/>
      <c r="S785" s="8"/>
      <c r="T785" s="8"/>
    </row>
    <row r="786">
      <c r="D786" s="8"/>
      <c r="S786" s="8"/>
      <c r="T786" s="8"/>
    </row>
    <row r="787">
      <c r="D787" s="8"/>
      <c r="S787" s="8"/>
      <c r="T787" s="8"/>
    </row>
    <row r="788">
      <c r="D788" s="8"/>
      <c r="S788" s="8"/>
      <c r="T788" s="8"/>
    </row>
    <row r="789">
      <c r="D789" s="8"/>
      <c r="S789" s="8"/>
      <c r="T789" s="8"/>
    </row>
    <row r="790">
      <c r="D790" s="8"/>
      <c r="S790" s="8"/>
      <c r="T790" s="8"/>
    </row>
    <row r="791">
      <c r="D791" s="8"/>
      <c r="S791" s="8"/>
      <c r="T791" s="8"/>
    </row>
    <row r="792">
      <c r="D792" s="8"/>
      <c r="S792" s="8"/>
      <c r="T792" s="8"/>
    </row>
    <row r="793">
      <c r="D793" s="8"/>
      <c r="S793" s="8"/>
      <c r="T793" s="8"/>
    </row>
    <row r="794">
      <c r="D794" s="8"/>
      <c r="S794" s="8"/>
      <c r="T794" s="8"/>
    </row>
    <row r="795">
      <c r="D795" s="8"/>
      <c r="S795" s="8"/>
      <c r="T795" s="8"/>
    </row>
    <row r="796">
      <c r="D796" s="8"/>
      <c r="S796" s="8"/>
      <c r="T796" s="8"/>
    </row>
    <row r="797">
      <c r="D797" s="8"/>
      <c r="S797" s="8"/>
      <c r="T797" s="8"/>
    </row>
    <row r="798">
      <c r="D798" s="8"/>
      <c r="S798" s="8"/>
      <c r="T798" s="8"/>
    </row>
    <row r="799">
      <c r="D799" s="8"/>
      <c r="S799" s="8"/>
      <c r="T799" s="8"/>
    </row>
    <row r="800">
      <c r="D800" s="8"/>
      <c r="S800" s="8"/>
      <c r="T800" s="8"/>
    </row>
    <row r="801">
      <c r="D801" s="8"/>
      <c r="S801" s="8"/>
      <c r="T801" s="8"/>
    </row>
    <row r="802">
      <c r="D802" s="8"/>
      <c r="S802" s="8"/>
      <c r="T802" s="8"/>
    </row>
    <row r="803">
      <c r="D803" s="8"/>
      <c r="S803" s="8"/>
      <c r="T803" s="8"/>
    </row>
    <row r="804">
      <c r="D804" s="8"/>
      <c r="S804" s="8"/>
      <c r="T804" s="8"/>
    </row>
    <row r="805">
      <c r="D805" s="8"/>
      <c r="S805" s="8"/>
      <c r="T805" s="8"/>
    </row>
    <row r="806">
      <c r="D806" s="8"/>
      <c r="S806" s="8"/>
      <c r="T806" s="8"/>
    </row>
    <row r="807">
      <c r="D807" s="8"/>
      <c r="S807" s="8"/>
      <c r="T807" s="8"/>
    </row>
    <row r="808">
      <c r="D808" s="8"/>
      <c r="S808" s="8"/>
      <c r="T808" s="8"/>
    </row>
    <row r="809">
      <c r="D809" s="8"/>
      <c r="S809" s="8"/>
      <c r="T809" s="8"/>
    </row>
    <row r="810">
      <c r="D810" s="8"/>
      <c r="S810" s="8"/>
      <c r="T810" s="8"/>
    </row>
    <row r="811">
      <c r="D811" s="8"/>
      <c r="S811" s="8"/>
      <c r="T811" s="8"/>
    </row>
    <row r="812">
      <c r="D812" s="8"/>
      <c r="S812" s="8"/>
      <c r="T812" s="8"/>
    </row>
    <row r="813">
      <c r="D813" s="8"/>
      <c r="S813" s="8"/>
      <c r="T813" s="8"/>
    </row>
    <row r="814">
      <c r="D814" s="8"/>
      <c r="S814" s="8"/>
      <c r="T814" s="8"/>
    </row>
    <row r="815">
      <c r="D815" s="8"/>
      <c r="S815" s="8"/>
      <c r="T815" s="8"/>
    </row>
    <row r="816">
      <c r="D816" s="8"/>
      <c r="S816" s="8"/>
      <c r="T816" s="8"/>
    </row>
    <row r="817">
      <c r="D817" s="8"/>
      <c r="S817" s="8"/>
      <c r="T817" s="8"/>
    </row>
    <row r="818">
      <c r="D818" s="8"/>
      <c r="S818" s="8"/>
      <c r="T818" s="8"/>
    </row>
    <row r="819">
      <c r="D819" s="8"/>
      <c r="S819" s="8"/>
      <c r="T819" s="8"/>
    </row>
    <row r="820">
      <c r="D820" s="8"/>
      <c r="S820" s="8"/>
      <c r="T820" s="8"/>
    </row>
    <row r="821">
      <c r="D821" s="8"/>
      <c r="S821" s="8"/>
      <c r="T821" s="8"/>
    </row>
    <row r="822">
      <c r="D822" s="8"/>
      <c r="S822" s="8"/>
      <c r="T822" s="8"/>
    </row>
    <row r="823">
      <c r="D823" s="8"/>
      <c r="S823" s="8"/>
      <c r="T823" s="8"/>
    </row>
    <row r="824">
      <c r="D824" s="8"/>
      <c r="S824" s="8"/>
      <c r="T824" s="8"/>
    </row>
    <row r="825">
      <c r="D825" s="8"/>
      <c r="S825" s="8"/>
      <c r="T825" s="8"/>
    </row>
    <row r="826">
      <c r="D826" s="8"/>
      <c r="S826" s="8"/>
      <c r="T826" s="8"/>
    </row>
    <row r="827">
      <c r="D827" s="8"/>
      <c r="S827" s="8"/>
      <c r="T827" s="8"/>
    </row>
    <row r="828">
      <c r="D828" s="8"/>
      <c r="S828" s="8"/>
      <c r="T828" s="8"/>
    </row>
    <row r="829">
      <c r="D829" s="8"/>
      <c r="S829" s="8"/>
      <c r="T829" s="8"/>
    </row>
    <row r="830">
      <c r="D830" s="8"/>
      <c r="S830" s="8"/>
      <c r="T830" s="8"/>
    </row>
    <row r="831">
      <c r="D831" s="8"/>
      <c r="S831" s="8"/>
      <c r="T831" s="8"/>
    </row>
    <row r="832">
      <c r="D832" s="8"/>
      <c r="S832" s="8"/>
      <c r="T832" s="8"/>
    </row>
    <row r="833">
      <c r="D833" s="8"/>
      <c r="S833" s="8"/>
      <c r="T833" s="8"/>
    </row>
    <row r="834">
      <c r="D834" s="8"/>
      <c r="S834" s="8"/>
      <c r="T834" s="8"/>
    </row>
    <row r="835">
      <c r="D835" s="8"/>
      <c r="S835" s="8"/>
      <c r="T835" s="8"/>
    </row>
    <row r="836">
      <c r="D836" s="8"/>
      <c r="S836" s="8"/>
      <c r="T836" s="8"/>
    </row>
    <row r="837">
      <c r="D837" s="8"/>
      <c r="S837" s="8"/>
      <c r="T837" s="8"/>
    </row>
    <row r="838">
      <c r="D838" s="8"/>
      <c r="S838" s="8"/>
      <c r="T838" s="8"/>
    </row>
    <row r="839">
      <c r="D839" s="8"/>
      <c r="S839" s="8"/>
      <c r="T839" s="8"/>
    </row>
    <row r="840">
      <c r="D840" s="8"/>
      <c r="S840" s="8"/>
      <c r="T840" s="8"/>
    </row>
    <row r="841">
      <c r="D841" s="8"/>
      <c r="S841" s="8"/>
      <c r="T841" s="8"/>
    </row>
    <row r="842">
      <c r="D842" s="8"/>
      <c r="S842" s="8"/>
      <c r="T842" s="8"/>
    </row>
    <row r="843">
      <c r="D843" s="8"/>
      <c r="S843" s="8"/>
      <c r="T843" s="8"/>
    </row>
    <row r="844">
      <c r="D844" s="8"/>
      <c r="S844" s="8"/>
      <c r="T844" s="8"/>
    </row>
    <row r="845">
      <c r="D845" s="8"/>
      <c r="S845" s="8"/>
      <c r="T845" s="8"/>
    </row>
    <row r="846">
      <c r="D846" s="8"/>
      <c r="S846" s="8"/>
      <c r="T846" s="8"/>
    </row>
    <row r="847">
      <c r="D847" s="8"/>
      <c r="S847" s="8"/>
      <c r="T847" s="8"/>
    </row>
    <row r="848">
      <c r="D848" s="8"/>
      <c r="S848" s="8"/>
      <c r="T848" s="8"/>
    </row>
    <row r="849">
      <c r="D849" s="8"/>
      <c r="S849" s="8"/>
      <c r="T849" s="8"/>
    </row>
    <row r="850">
      <c r="D850" s="8"/>
      <c r="S850" s="8"/>
      <c r="T850" s="8"/>
    </row>
    <row r="851">
      <c r="D851" s="8"/>
      <c r="S851" s="8"/>
      <c r="T851" s="8"/>
    </row>
    <row r="852">
      <c r="D852" s="8"/>
      <c r="S852" s="8"/>
      <c r="T852" s="8"/>
    </row>
    <row r="853">
      <c r="D853" s="8"/>
      <c r="S853" s="8"/>
      <c r="T853" s="8"/>
    </row>
    <row r="854">
      <c r="D854" s="8"/>
      <c r="S854" s="8"/>
      <c r="T854" s="8"/>
    </row>
    <row r="855">
      <c r="D855" s="8"/>
      <c r="S855" s="8"/>
      <c r="T855" s="8"/>
    </row>
    <row r="856">
      <c r="D856" s="8"/>
      <c r="S856" s="8"/>
      <c r="T856" s="8"/>
    </row>
    <row r="857">
      <c r="D857" s="8"/>
      <c r="S857" s="8"/>
      <c r="T857" s="8"/>
    </row>
    <row r="858">
      <c r="D858" s="8"/>
      <c r="S858" s="8"/>
      <c r="T858" s="8"/>
    </row>
    <row r="859">
      <c r="D859" s="8"/>
      <c r="S859" s="8"/>
      <c r="T859" s="8"/>
    </row>
    <row r="860">
      <c r="D860" s="8"/>
      <c r="S860" s="8"/>
      <c r="T860" s="8"/>
    </row>
    <row r="861">
      <c r="D861" s="8"/>
      <c r="S861" s="8"/>
      <c r="T861" s="8"/>
    </row>
    <row r="862">
      <c r="D862" s="8"/>
      <c r="S862" s="8"/>
      <c r="T862" s="8"/>
    </row>
    <row r="863">
      <c r="D863" s="8"/>
      <c r="S863" s="8"/>
      <c r="T863" s="8"/>
    </row>
    <row r="864">
      <c r="D864" s="8"/>
      <c r="S864" s="8"/>
      <c r="T864" s="8"/>
    </row>
    <row r="865">
      <c r="D865" s="8"/>
      <c r="S865" s="8"/>
      <c r="T865" s="8"/>
    </row>
    <row r="866">
      <c r="D866" s="8"/>
      <c r="S866" s="8"/>
      <c r="T866" s="8"/>
    </row>
    <row r="867">
      <c r="D867" s="8"/>
      <c r="S867" s="8"/>
      <c r="T867" s="8"/>
    </row>
    <row r="868">
      <c r="D868" s="8"/>
      <c r="S868" s="8"/>
      <c r="T868" s="8"/>
    </row>
    <row r="869">
      <c r="D869" s="8"/>
      <c r="S869" s="8"/>
      <c r="T869" s="8"/>
    </row>
    <row r="870">
      <c r="D870" s="8"/>
      <c r="S870" s="8"/>
      <c r="T870" s="8"/>
    </row>
    <row r="871">
      <c r="D871" s="8"/>
      <c r="S871" s="8"/>
      <c r="T871" s="8"/>
    </row>
    <row r="872">
      <c r="D872" s="8"/>
      <c r="S872" s="8"/>
      <c r="T872" s="8"/>
    </row>
    <row r="873">
      <c r="D873" s="8"/>
      <c r="S873" s="8"/>
      <c r="T873" s="8"/>
    </row>
    <row r="874">
      <c r="D874" s="8"/>
      <c r="S874" s="8"/>
      <c r="T874" s="8"/>
    </row>
    <row r="875">
      <c r="D875" s="8"/>
      <c r="S875" s="8"/>
      <c r="T875" s="8"/>
    </row>
    <row r="876">
      <c r="D876" s="8"/>
      <c r="S876" s="8"/>
      <c r="T876" s="8"/>
    </row>
    <row r="877">
      <c r="D877" s="8"/>
      <c r="S877" s="8"/>
      <c r="T877" s="8"/>
    </row>
    <row r="878">
      <c r="D878" s="8"/>
      <c r="S878" s="8"/>
      <c r="T878" s="8"/>
    </row>
    <row r="879">
      <c r="D879" s="8"/>
      <c r="S879" s="8"/>
      <c r="T879" s="8"/>
    </row>
    <row r="880">
      <c r="D880" s="8"/>
      <c r="S880" s="8"/>
      <c r="T880" s="8"/>
    </row>
    <row r="881">
      <c r="D881" s="8"/>
      <c r="S881" s="8"/>
      <c r="T881" s="8"/>
    </row>
    <row r="882">
      <c r="D882" s="8"/>
      <c r="S882" s="8"/>
      <c r="T882" s="8"/>
    </row>
    <row r="883">
      <c r="D883" s="8"/>
      <c r="S883" s="8"/>
      <c r="T883" s="8"/>
    </row>
    <row r="884">
      <c r="D884" s="8"/>
      <c r="S884" s="8"/>
      <c r="T884" s="8"/>
    </row>
    <row r="885">
      <c r="D885" s="8"/>
      <c r="S885" s="8"/>
      <c r="T885" s="8"/>
    </row>
    <row r="886">
      <c r="D886" s="8"/>
      <c r="S886" s="8"/>
      <c r="T886" s="8"/>
    </row>
    <row r="887">
      <c r="D887" s="8"/>
      <c r="S887" s="8"/>
      <c r="T887" s="8"/>
    </row>
    <row r="888">
      <c r="D888" s="8"/>
      <c r="S888" s="8"/>
      <c r="T888" s="8"/>
    </row>
    <row r="889">
      <c r="D889" s="8"/>
      <c r="S889" s="8"/>
      <c r="T889" s="8"/>
    </row>
    <row r="890">
      <c r="D890" s="8"/>
      <c r="S890" s="8"/>
      <c r="T890" s="8"/>
    </row>
    <row r="891">
      <c r="D891" s="8"/>
      <c r="S891" s="8"/>
      <c r="T891" s="8"/>
    </row>
    <row r="892">
      <c r="D892" s="8"/>
      <c r="S892" s="8"/>
      <c r="T892" s="8"/>
    </row>
    <row r="893">
      <c r="D893" s="8"/>
      <c r="S893" s="8"/>
      <c r="T893" s="8"/>
    </row>
    <row r="894">
      <c r="D894" s="8"/>
      <c r="S894" s="8"/>
      <c r="T894" s="8"/>
    </row>
    <row r="895">
      <c r="D895" s="8"/>
      <c r="S895" s="8"/>
      <c r="T895" s="8"/>
    </row>
    <row r="896">
      <c r="D896" s="8"/>
      <c r="S896" s="8"/>
      <c r="T896" s="8"/>
    </row>
    <row r="897">
      <c r="D897" s="8"/>
      <c r="S897" s="8"/>
      <c r="T897" s="8"/>
    </row>
    <row r="898">
      <c r="D898" s="8"/>
      <c r="S898" s="8"/>
      <c r="T898" s="8"/>
    </row>
    <row r="899">
      <c r="D899" s="8"/>
      <c r="S899" s="8"/>
      <c r="T899" s="8"/>
    </row>
    <row r="900">
      <c r="D900" s="8"/>
      <c r="S900" s="8"/>
      <c r="T900" s="8"/>
    </row>
    <row r="901">
      <c r="D901" s="8"/>
      <c r="S901" s="8"/>
      <c r="T901" s="8"/>
    </row>
    <row r="902">
      <c r="D902" s="8"/>
      <c r="S902" s="8"/>
      <c r="T902" s="8"/>
    </row>
    <row r="903">
      <c r="D903" s="8"/>
      <c r="S903" s="8"/>
      <c r="T903" s="8"/>
    </row>
    <row r="904">
      <c r="D904" s="8"/>
      <c r="S904" s="8"/>
      <c r="T904" s="8"/>
    </row>
    <row r="905">
      <c r="D905" s="8"/>
      <c r="S905" s="8"/>
      <c r="T905" s="8"/>
    </row>
    <row r="906">
      <c r="D906" s="8"/>
      <c r="S906" s="8"/>
      <c r="T906" s="8"/>
    </row>
    <row r="907">
      <c r="D907" s="8"/>
      <c r="S907" s="8"/>
      <c r="T907" s="8"/>
    </row>
    <row r="908">
      <c r="D908" s="8"/>
      <c r="S908" s="8"/>
      <c r="T908" s="8"/>
    </row>
    <row r="909">
      <c r="D909" s="8"/>
      <c r="S909" s="8"/>
      <c r="T909" s="8"/>
    </row>
    <row r="910">
      <c r="D910" s="8"/>
      <c r="S910" s="8"/>
      <c r="T910" s="8"/>
    </row>
    <row r="911">
      <c r="D911" s="8"/>
      <c r="S911" s="8"/>
      <c r="T911" s="8"/>
    </row>
    <row r="912">
      <c r="D912" s="8"/>
      <c r="S912" s="8"/>
      <c r="T912" s="8"/>
    </row>
    <row r="913">
      <c r="D913" s="8"/>
      <c r="S913" s="8"/>
      <c r="T913" s="8"/>
    </row>
    <row r="914">
      <c r="D914" s="8"/>
      <c r="S914" s="8"/>
      <c r="T914" s="8"/>
    </row>
    <row r="915">
      <c r="D915" s="8"/>
      <c r="S915" s="8"/>
      <c r="T915" s="8"/>
    </row>
    <row r="916">
      <c r="D916" s="8"/>
      <c r="S916" s="8"/>
      <c r="T916" s="8"/>
    </row>
    <row r="917">
      <c r="D917" s="8"/>
      <c r="S917" s="8"/>
      <c r="T917" s="8"/>
    </row>
    <row r="918">
      <c r="D918" s="8"/>
      <c r="S918" s="8"/>
      <c r="T918" s="8"/>
    </row>
    <row r="919">
      <c r="D919" s="8"/>
      <c r="S919" s="8"/>
      <c r="T919" s="8"/>
    </row>
    <row r="920">
      <c r="D920" s="8"/>
      <c r="S920" s="8"/>
      <c r="T920" s="8"/>
    </row>
    <row r="921">
      <c r="D921" s="8"/>
      <c r="S921" s="8"/>
      <c r="T921" s="8"/>
    </row>
    <row r="922">
      <c r="D922" s="8"/>
      <c r="S922" s="8"/>
      <c r="T922" s="8"/>
    </row>
    <row r="923">
      <c r="D923" s="8"/>
      <c r="S923" s="8"/>
      <c r="T923" s="8"/>
    </row>
    <row r="924">
      <c r="D924" s="8"/>
      <c r="S924" s="8"/>
      <c r="T924" s="8"/>
    </row>
    <row r="925">
      <c r="D925" s="8"/>
      <c r="S925" s="8"/>
      <c r="T925" s="8"/>
    </row>
    <row r="926">
      <c r="D926" s="8"/>
      <c r="S926" s="8"/>
      <c r="T926" s="8"/>
    </row>
    <row r="927">
      <c r="D927" s="8"/>
      <c r="S927" s="8"/>
      <c r="T927" s="8"/>
    </row>
    <row r="928">
      <c r="D928" s="8"/>
      <c r="S928" s="8"/>
      <c r="T928" s="8"/>
    </row>
    <row r="929">
      <c r="D929" s="8"/>
      <c r="S929" s="8"/>
      <c r="T929" s="8"/>
    </row>
    <row r="930">
      <c r="D930" s="8"/>
      <c r="S930" s="8"/>
      <c r="T930" s="8"/>
    </row>
    <row r="931">
      <c r="D931" s="8"/>
      <c r="S931" s="8"/>
      <c r="T931" s="8"/>
    </row>
    <row r="932">
      <c r="D932" s="8"/>
      <c r="S932" s="8"/>
      <c r="T932" s="8"/>
    </row>
    <row r="933">
      <c r="D933" s="8"/>
      <c r="S933" s="8"/>
      <c r="T933" s="8"/>
    </row>
    <row r="934">
      <c r="D934" s="8"/>
      <c r="S934" s="8"/>
      <c r="T934" s="8"/>
    </row>
    <row r="935">
      <c r="D935" s="8"/>
      <c r="S935" s="8"/>
      <c r="T935" s="8"/>
    </row>
    <row r="936">
      <c r="D936" s="8"/>
      <c r="S936" s="8"/>
      <c r="T936" s="8"/>
    </row>
    <row r="937">
      <c r="D937" s="8"/>
      <c r="S937" s="8"/>
      <c r="T937" s="8"/>
    </row>
    <row r="938">
      <c r="D938" s="8"/>
      <c r="S938" s="8"/>
      <c r="T938" s="8"/>
    </row>
    <row r="939">
      <c r="D939" s="8"/>
      <c r="S939" s="8"/>
      <c r="T939" s="8"/>
    </row>
    <row r="940">
      <c r="D940" s="8"/>
      <c r="S940" s="8"/>
      <c r="T940" s="8"/>
    </row>
    <row r="941">
      <c r="D941" s="8"/>
      <c r="S941" s="8"/>
      <c r="T941" s="8"/>
    </row>
    <row r="942">
      <c r="D942" s="8"/>
      <c r="S942" s="8"/>
      <c r="T942" s="8"/>
    </row>
    <row r="943">
      <c r="D943" s="8"/>
      <c r="S943" s="8"/>
      <c r="T943" s="8"/>
    </row>
    <row r="944">
      <c r="D944" s="8"/>
      <c r="S944" s="8"/>
      <c r="T944" s="8"/>
    </row>
    <row r="945">
      <c r="D945" s="8"/>
      <c r="S945" s="8"/>
      <c r="T945" s="8"/>
    </row>
    <row r="946">
      <c r="D946" s="8"/>
      <c r="S946" s="8"/>
      <c r="T946" s="8"/>
    </row>
    <row r="947">
      <c r="D947" s="8"/>
      <c r="S947" s="8"/>
      <c r="T947" s="8"/>
    </row>
    <row r="948">
      <c r="D948" s="8"/>
      <c r="S948" s="8"/>
      <c r="T948" s="8"/>
    </row>
    <row r="949">
      <c r="D949" s="8"/>
      <c r="S949" s="8"/>
      <c r="T949" s="8"/>
    </row>
    <row r="950">
      <c r="D950" s="8"/>
      <c r="S950" s="8"/>
      <c r="T950" s="8"/>
    </row>
    <row r="951">
      <c r="D951" s="8"/>
      <c r="S951" s="8"/>
      <c r="T951" s="8"/>
    </row>
    <row r="952">
      <c r="D952" s="8"/>
      <c r="S952" s="8"/>
      <c r="T952" s="8"/>
    </row>
    <row r="953">
      <c r="D953" s="8"/>
      <c r="S953" s="8"/>
      <c r="T953" s="8"/>
    </row>
    <row r="954">
      <c r="D954" s="8"/>
      <c r="S954" s="8"/>
      <c r="T954" s="8"/>
    </row>
    <row r="955">
      <c r="D955" s="8"/>
      <c r="S955" s="8"/>
      <c r="T955" s="8"/>
    </row>
    <row r="956">
      <c r="D956" s="8"/>
      <c r="S956" s="8"/>
      <c r="T956" s="8"/>
    </row>
    <row r="957">
      <c r="D957" s="8"/>
      <c r="S957" s="8"/>
      <c r="T957" s="8"/>
    </row>
    <row r="958">
      <c r="D958" s="8"/>
      <c r="S958" s="8"/>
      <c r="T958" s="8"/>
    </row>
    <row r="959">
      <c r="D959" s="8"/>
      <c r="S959" s="8"/>
      <c r="T959" s="8"/>
    </row>
    <row r="960">
      <c r="D960" s="8"/>
      <c r="S960" s="8"/>
      <c r="T960" s="8"/>
    </row>
    <row r="961">
      <c r="D961" s="8"/>
      <c r="S961" s="8"/>
      <c r="T961" s="8"/>
    </row>
    <row r="962">
      <c r="D962" s="8"/>
      <c r="S962" s="8"/>
      <c r="T962" s="8"/>
    </row>
    <row r="963">
      <c r="D963" s="8"/>
      <c r="S963" s="8"/>
      <c r="T963" s="8"/>
    </row>
    <row r="964">
      <c r="D964" s="8"/>
      <c r="S964" s="8"/>
      <c r="T964" s="8"/>
    </row>
    <row r="965">
      <c r="D965" s="8"/>
      <c r="S965" s="8"/>
      <c r="T965" s="8"/>
    </row>
    <row r="966">
      <c r="D966" s="8"/>
      <c r="S966" s="8"/>
      <c r="T966" s="8"/>
    </row>
    <row r="967">
      <c r="D967" s="8"/>
      <c r="S967" s="8"/>
      <c r="T967" s="8"/>
    </row>
    <row r="968">
      <c r="D968" s="8"/>
      <c r="S968" s="8"/>
      <c r="T968" s="8"/>
    </row>
    <row r="969">
      <c r="D969" s="8"/>
      <c r="S969" s="8"/>
      <c r="T969" s="8"/>
    </row>
    <row r="970">
      <c r="D970" s="8"/>
      <c r="S970" s="8"/>
      <c r="T970" s="8"/>
    </row>
    <row r="971">
      <c r="D971" s="8"/>
      <c r="S971" s="8"/>
      <c r="T971" s="8"/>
    </row>
    <row r="972">
      <c r="D972" s="8"/>
      <c r="S972" s="8"/>
      <c r="T972" s="8"/>
    </row>
    <row r="973">
      <c r="D973" s="8"/>
      <c r="S973" s="8"/>
      <c r="T973" s="8"/>
    </row>
    <row r="974">
      <c r="D974" s="8"/>
      <c r="S974" s="8"/>
      <c r="T974" s="8"/>
    </row>
    <row r="975">
      <c r="D975" s="8"/>
      <c r="S975" s="8"/>
      <c r="T975" s="8"/>
    </row>
    <row r="976">
      <c r="D976" s="8"/>
      <c r="S976" s="8"/>
      <c r="T976" s="8"/>
    </row>
    <row r="977">
      <c r="D977" s="8"/>
      <c r="S977" s="8"/>
      <c r="T977" s="8"/>
    </row>
    <row r="978">
      <c r="D978" s="8"/>
      <c r="S978" s="8"/>
      <c r="T978" s="8"/>
    </row>
    <row r="979">
      <c r="D979" s="8"/>
      <c r="S979" s="8"/>
      <c r="T979" s="8"/>
    </row>
    <row r="980">
      <c r="D980" s="8"/>
      <c r="S980" s="8"/>
      <c r="T980" s="8"/>
    </row>
    <row r="981">
      <c r="D981" s="8"/>
      <c r="S981" s="8"/>
      <c r="T981" s="8"/>
    </row>
    <row r="982">
      <c r="D982" s="8"/>
      <c r="S982" s="8"/>
      <c r="T982" s="8"/>
    </row>
    <row r="983">
      <c r="D983" s="8"/>
      <c r="S983" s="8"/>
      <c r="T983" s="8"/>
    </row>
    <row r="984">
      <c r="D984" s="8"/>
      <c r="S984" s="8"/>
      <c r="T984" s="8"/>
    </row>
    <row r="985">
      <c r="D985" s="8"/>
      <c r="S985" s="8"/>
      <c r="T985" s="8"/>
    </row>
    <row r="986">
      <c r="D986" s="8"/>
      <c r="S986" s="8"/>
      <c r="T986" s="8"/>
    </row>
    <row r="987">
      <c r="D987" s="8"/>
      <c r="S987" s="8"/>
      <c r="T987" s="8"/>
    </row>
    <row r="988">
      <c r="D988" s="8"/>
      <c r="S988" s="8"/>
      <c r="T988" s="8"/>
    </row>
    <row r="989">
      <c r="D989" s="8"/>
      <c r="S989" s="8"/>
      <c r="T989" s="8"/>
    </row>
    <row r="990">
      <c r="D990" s="8"/>
      <c r="S990" s="8"/>
      <c r="T990" s="8"/>
    </row>
    <row r="991">
      <c r="D991" s="8"/>
      <c r="S991" s="8"/>
      <c r="T991" s="8"/>
    </row>
    <row r="992">
      <c r="D992" s="8"/>
      <c r="S992" s="8"/>
      <c r="T992" s="8"/>
    </row>
    <row r="993">
      <c r="D993" s="8"/>
      <c r="S993" s="8"/>
      <c r="T993" s="8"/>
    </row>
    <row r="994">
      <c r="D994" s="8"/>
      <c r="S994" s="8"/>
      <c r="T994" s="8"/>
    </row>
    <row r="995">
      <c r="D995" s="8"/>
      <c r="S995" s="8"/>
      <c r="T995" s="8"/>
    </row>
    <row r="996">
      <c r="D996" s="8"/>
      <c r="S996" s="8"/>
      <c r="T996" s="8"/>
    </row>
    <row r="997">
      <c r="D997" s="8"/>
      <c r="S997" s="8"/>
      <c r="T997" s="8"/>
    </row>
    <row r="998">
      <c r="D998" s="8"/>
      <c r="S998" s="8"/>
      <c r="T998" s="8"/>
    </row>
    <row r="999">
      <c r="D999" s="8"/>
      <c r="S999" s="8"/>
      <c r="T999" s="8"/>
    </row>
    <row r="1000">
      <c r="D1000" s="8"/>
      <c r="S1000" s="8"/>
      <c r="T1000" s="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63"/>
    <col customWidth="1" min="5" max="5" width="107.0"/>
    <col customWidth="1" min="6" max="12" width="12.63"/>
  </cols>
  <sheetData>
    <row r="1" ht="225.0" customHeight="1"/>
    <row r="2" ht="225.0" customHeight="1"/>
    <row r="3" ht="225.0" customHeight="1"/>
    <row r="4">
      <c r="A4" s="9" t="s">
        <v>252</v>
      </c>
    </row>
    <row r="6" ht="22.5" customHeight="1">
      <c r="A6" s="10" t="s">
        <v>7</v>
      </c>
      <c r="B6" s="10" t="s">
        <v>253</v>
      </c>
    </row>
    <row r="7" ht="22.5" customHeight="1">
      <c r="A7" s="11">
        <v>2.56</v>
      </c>
      <c r="B7" s="11">
        <v>2.56</v>
      </c>
    </row>
    <row r="8" ht="22.5" customHeight="1">
      <c r="A8" s="11">
        <v>2.86</v>
      </c>
      <c r="B8" s="11">
        <v>2.86</v>
      </c>
    </row>
    <row r="9" ht="22.5" customHeight="1">
      <c r="A9" s="11">
        <v>4.64</v>
      </c>
      <c r="B9" s="11">
        <v>4.64</v>
      </c>
    </row>
    <row r="10" ht="22.5" customHeight="1">
      <c r="A10" s="11">
        <v>4.36</v>
      </c>
      <c r="B10" s="11">
        <v>4.36</v>
      </c>
    </row>
    <row r="11" ht="22.5" customHeight="1">
      <c r="A11" s="11">
        <v>4.32</v>
      </c>
      <c r="B11" s="11">
        <v>4.32</v>
      </c>
    </row>
    <row r="12" ht="22.5" customHeight="1">
      <c r="A12" s="11">
        <v>4.37</v>
      </c>
      <c r="B12" s="11">
        <v>4.37</v>
      </c>
    </row>
    <row r="13" ht="22.5" customHeight="1">
      <c r="A13" s="11">
        <v>4.26</v>
      </c>
      <c r="B13" s="11">
        <v>4.26</v>
      </c>
    </row>
    <row r="14" ht="22.5" customHeight="1">
      <c r="A14" s="11">
        <v>3.8</v>
      </c>
      <c r="B14" s="11">
        <v>3.8</v>
      </c>
    </row>
    <row r="15" ht="22.5" customHeight="1">
      <c r="A15" s="11">
        <v>3.96</v>
      </c>
      <c r="B15" s="11">
        <v>3.96</v>
      </c>
    </row>
    <row r="16" ht="22.5" customHeight="1">
      <c r="A16" s="11">
        <v>2.74</v>
      </c>
      <c r="B16" s="11">
        <v>2.74</v>
      </c>
    </row>
    <row r="17" ht="22.5" customHeight="1">
      <c r="A17" s="11">
        <v>4.77</v>
      </c>
      <c r="B17" s="11">
        <v>4.77</v>
      </c>
    </row>
    <row r="18" ht="22.5" customHeight="1">
      <c r="A18" s="11">
        <v>3.92</v>
      </c>
      <c r="B18" s="11">
        <v>3.92</v>
      </c>
    </row>
    <row r="19" ht="22.5" customHeight="1">
      <c r="A19" s="11">
        <v>2.87</v>
      </c>
      <c r="B19" s="11">
        <v>2.87</v>
      </c>
    </row>
    <row r="20" ht="22.5" customHeight="1">
      <c r="A20" s="11">
        <v>4.88</v>
      </c>
      <c r="B20" s="11">
        <v>4.88</v>
      </c>
    </row>
    <row r="21" ht="22.5" customHeight="1">
      <c r="A21" s="11">
        <v>3.59</v>
      </c>
      <c r="B21" s="11">
        <v>3.59</v>
      </c>
    </row>
    <row r="22" ht="22.5" customHeight="1">
      <c r="A22" s="11">
        <v>4.19</v>
      </c>
      <c r="B22" s="11">
        <v>4.19</v>
      </c>
    </row>
    <row r="23" ht="22.5" customHeight="1">
      <c r="A23" s="11">
        <v>4.47</v>
      </c>
      <c r="B23" s="11">
        <v>4.47</v>
      </c>
    </row>
    <row r="24" ht="22.5" customHeight="1">
      <c r="A24" s="11">
        <v>3.13</v>
      </c>
      <c r="B24" s="11">
        <v>3.13</v>
      </c>
    </row>
    <row r="25" ht="22.5" customHeight="1">
      <c r="A25" s="11">
        <v>3.19</v>
      </c>
      <c r="B25" s="11">
        <v>3.19</v>
      </c>
    </row>
    <row r="26" ht="22.5" customHeight="1">
      <c r="A26" s="11">
        <v>4.8</v>
      </c>
      <c r="B26" s="11">
        <v>4.8</v>
      </c>
    </row>
    <row r="27" ht="22.5" customHeight="1">
      <c r="A27" s="11">
        <v>4.07</v>
      </c>
      <c r="B27" s="11">
        <v>4.07</v>
      </c>
    </row>
    <row r="28" ht="22.5" customHeight="1">
      <c r="A28" s="11">
        <v>4.55</v>
      </c>
      <c r="B28" s="11">
        <v>4.55</v>
      </c>
    </row>
    <row r="29" ht="22.5" customHeight="1">
      <c r="A29" s="11">
        <v>2.53</v>
      </c>
      <c r="B29" s="11">
        <v>2.53</v>
      </c>
    </row>
    <row r="30" ht="22.5" customHeight="1">
      <c r="A30" s="11">
        <v>3.78</v>
      </c>
      <c r="B30" s="11">
        <v>3.78</v>
      </c>
    </row>
    <row r="31" ht="22.5" customHeight="1">
      <c r="A31" s="11">
        <v>3.25</v>
      </c>
      <c r="B31" s="11">
        <v>3.25</v>
      </c>
    </row>
    <row r="32" ht="22.5" customHeight="1">
      <c r="A32" s="11">
        <v>3.66</v>
      </c>
      <c r="B32" s="11">
        <v>3.66</v>
      </c>
    </row>
    <row r="33" ht="22.5" customHeight="1">
      <c r="A33" s="11">
        <v>3.97</v>
      </c>
      <c r="B33" s="11">
        <v>3.97</v>
      </c>
    </row>
    <row r="34" ht="22.5" customHeight="1">
      <c r="A34" s="11">
        <v>3.39</v>
      </c>
      <c r="B34" s="11">
        <v>3.39</v>
      </c>
    </row>
    <row r="35" ht="22.5" customHeight="1">
      <c r="A35" s="11">
        <v>3.94</v>
      </c>
      <c r="B35" s="11">
        <v>3.94</v>
      </c>
    </row>
    <row r="36" ht="22.5" customHeight="1">
      <c r="A36" s="11">
        <v>4.93</v>
      </c>
      <c r="B36" s="11">
        <v>4.93</v>
      </c>
    </row>
    <row r="37" ht="22.5" customHeight="1">
      <c r="A37" s="11">
        <v>3.53</v>
      </c>
      <c r="B37" s="11">
        <v>3.53</v>
      </c>
    </row>
    <row r="38" ht="22.5" customHeight="1">
      <c r="A38" s="11">
        <v>2.61</v>
      </c>
      <c r="B38" s="11">
        <v>2.61</v>
      </c>
    </row>
    <row r="39" ht="22.5" customHeight="1">
      <c r="A39" s="11">
        <v>4.95</v>
      </c>
      <c r="B39" s="11">
        <v>4.95</v>
      </c>
    </row>
    <row r="40" ht="22.5" customHeight="1">
      <c r="A40" s="11">
        <v>4.82</v>
      </c>
      <c r="B40" s="11">
        <v>4.82</v>
      </c>
    </row>
    <row r="41" ht="22.5" customHeight="1">
      <c r="A41" s="11">
        <v>4.81</v>
      </c>
      <c r="B41" s="11">
        <v>4.81</v>
      </c>
    </row>
    <row r="42" ht="22.5" customHeight="1">
      <c r="A42" s="11">
        <v>4.18</v>
      </c>
      <c r="B42" s="11">
        <v>4.18</v>
      </c>
    </row>
    <row r="43" ht="22.5" customHeight="1">
      <c r="A43" s="11">
        <v>4.2</v>
      </c>
      <c r="B43" s="11">
        <v>4.2</v>
      </c>
    </row>
    <row r="44" ht="22.5" customHeight="1">
      <c r="A44" s="11">
        <v>3.18</v>
      </c>
      <c r="B44" s="11">
        <v>3.18</v>
      </c>
    </row>
    <row r="45" ht="22.5" customHeight="1">
      <c r="A45" s="11">
        <v>4.75</v>
      </c>
      <c r="B45" s="11">
        <v>4.75</v>
      </c>
    </row>
    <row r="46" ht="22.5" customHeight="1">
      <c r="A46" s="11">
        <v>3.08</v>
      </c>
      <c r="B46" s="11">
        <v>3.08</v>
      </c>
    </row>
    <row r="47" ht="22.5" customHeight="1">
      <c r="A47" s="11">
        <v>2.69</v>
      </c>
      <c r="B47" s="11">
        <v>2.69</v>
      </c>
    </row>
    <row r="48" ht="22.5" customHeight="1">
      <c r="A48" s="11">
        <v>4.96</v>
      </c>
      <c r="B48" s="11">
        <v>4.96</v>
      </c>
    </row>
    <row r="49" ht="22.5" customHeight="1">
      <c r="A49" s="11">
        <v>3.16</v>
      </c>
      <c r="B49" s="11">
        <v>3.16</v>
      </c>
    </row>
    <row r="50" ht="22.5" customHeight="1">
      <c r="A50" s="11">
        <v>4.53</v>
      </c>
      <c r="B50" s="11">
        <v>4.53</v>
      </c>
    </row>
    <row r="51" ht="22.5" customHeight="1">
      <c r="A51" s="11">
        <v>4.67</v>
      </c>
      <c r="B51" s="11">
        <v>4.67</v>
      </c>
    </row>
    <row r="52" ht="22.5" customHeight="1">
      <c r="A52" s="11">
        <v>3.01</v>
      </c>
      <c r="B52" s="11">
        <v>3.01</v>
      </c>
    </row>
    <row r="53" ht="22.5" customHeight="1">
      <c r="A53" s="11">
        <v>3.55</v>
      </c>
      <c r="B53" s="11">
        <v>3.55</v>
      </c>
    </row>
    <row r="54" ht="22.5" customHeight="1">
      <c r="A54" s="11">
        <v>3.27</v>
      </c>
      <c r="B54" s="11">
        <v>3.27</v>
      </c>
    </row>
    <row r="55" ht="22.5" customHeight="1">
      <c r="A55" s="11">
        <v>4.46</v>
      </c>
      <c r="B55" s="11">
        <v>4.46</v>
      </c>
    </row>
    <row r="56" ht="22.5" customHeight="1">
      <c r="A56" s="11">
        <v>3.9</v>
      </c>
      <c r="B56" s="11">
        <v>3.9</v>
      </c>
    </row>
    <row r="57" ht="22.5" customHeight="1">
      <c r="A57" s="11">
        <v>4.56</v>
      </c>
      <c r="B57" s="11">
        <v>4.56</v>
      </c>
    </row>
    <row r="58" ht="22.5" customHeight="1">
      <c r="A58" s="11">
        <v>4.05</v>
      </c>
      <c r="B58" s="11">
        <v>4.05</v>
      </c>
    </row>
    <row r="59" ht="22.5" customHeight="1">
      <c r="A59" s="11">
        <v>3.7</v>
      </c>
      <c r="B59" s="11">
        <v>3.7</v>
      </c>
    </row>
    <row r="60" ht="22.5" customHeight="1">
      <c r="A60" s="11">
        <v>4.63</v>
      </c>
      <c r="B60" s="11">
        <v>4.63</v>
      </c>
    </row>
    <row r="61" ht="22.5" customHeight="1">
      <c r="A61" s="11">
        <v>3.09</v>
      </c>
      <c r="B61" s="11">
        <v>3.09</v>
      </c>
    </row>
    <row r="62" ht="22.5" customHeight="1">
      <c r="A62" s="11">
        <v>4.11</v>
      </c>
      <c r="B62" s="11">
        <v>4.11</v>
      </c>
    </row>
    <row r="63" ht="22.5" customHeight="1">
      <c r="A63" s="11">
        <v>3.04</v>
      </c>
      <c r="B63" s="11">
        <v>3.04</v>
      </c>
    </row>
    <row r="64" ht="22.5" customHeight="1">
      <c r="A64" s="11">
        <v>3.11</v>
      </c>
      <c r="B64" s="11">
        <v>3.11</v>
      </c>
    </row>
    <row r="65" ht="22.5" customHeight="1">
      <c r="A65" s="11">
        <v>4.02</v>
      </c>
      <c r="B65" s="11">
        <v>4.02</v>
      </c>
    </row>
    <row r="66" ht="22.5" customHeight="1">
      <c r="A66" s="11">
        <v>3.21</v>
      </c>
      <c r="B66" s="11">
        <v>3.21</v>
      </c>
    </row>
    <row r="67" ht="22.5" customHeight="1">
      <c r="A67" s="11">
        <v>3.86</v>
      </c>
      <c r="B67" s="11">
        <v>3.86</v>
      </c>
    </row>
    <row r="68" ht="22.5" customHeight="1">
      <c r="A68" s="11">
        <v>4.71</v>
      </c>
      <c r="B68" s="11">
        <v>4.71</v>
      </c>
    </row>
    <row r="69" ht="22.5" customHeight="1">
      <c r="A69" s="11">
        <v>3.09</v>
      </c>
      <c r="B69" s="11">
        <v>3.09</v>
      </c>
    </row>
    <row r="70" ht="22.5" customHeight="1">
      <c r="A70" s="11">
        <v>3.26</v>
      </c>
      <c r="B70" s="11">
        <v>3.26</v>
      </c>
    </row>
    <row r="71" ht="22.5" customHeight="1">
      <c r="A71" s="11">
        <v>4.93</v>
      </c>
      <c r="B71" s="11">
        <v>4.93</v>
      </c>
    </row>
    <row r="72" ht="22.5" customHeight="1">
      <c r="A72" s="11">
        <v>4.82</v>
      </c>
      <c r="B72" s="11">
        <v>4.82</v>
      </c>
    </row>
    <row r="73" ht="22.5" customHeight="1">
      <c r="A73" s="11">
        <v>2.64</v>
      </c>
      <c r="B73" s="11">
        <v>2.64</v>
      </c>
    </row>
    <row r="74" ht="22.5" customHeight="1">
      <c r="A74" s="11">
        <v>2.79</v>
      </c>
      <c r="B74" s="11">
        <v>2.79</v>
      </c>
    </row>
    <row r="75" ht="22.5" customHeight="1">
      <c r="A75" s="11">
        <v>3.65</v>
      </c>
      <c r="B75" s="11">
        <v>3.65</v>
      </c>
    </row>
    <row r="76" ht="22.5" customHeight="1">
      <c r="A76" s="11">
        <v>4.42</v>
      </c>
      <c r="B76" s="11">
        <v>4.42</v>
      </c>
    </row>
    <row r="77" ht="22.5" customHeight="1">
      <c r="A77" s="11">
        <v>3.22</v>
      </c>
      <c r="B77" s="11">
        <v>3.22</v>
      </c>
    </row>
    <row r="78" ht="22.5" customHeight="1">
      <c r="A78" s="11">
        <v>3.4</v>
      </c>
      <c r="B78" s="11">
        <v>3.4</v>
      </c>
    </row>
    <row r="79" ht="22.5" customHeight="1">
      <c r="A79" s="11">
        <v>4.87</v>
      </c>
      <c r="B79" s="11">
        <v>4.87</v>
      </c>
    </row>
    <row r="80" ht="22.5" customHeight="1">
      <c r="A80" s="11">
        <v>4.03</v>
      </c>
      <c r="B80" s="11">
        <v>4.03</v>
      </c>
    </row>
    <row r="81" ht="22.5" customHeight="1">
      <c r="A81" s="11">
        <v>4.62</v>
      </c>
      <c r="B81" s="11">
        <v>4.62</v>
      </c>
    </row>
    <row r="82" ht="22.5" customHeight="1">
      <c r="A82" s="11">
        <v>2.92</v>
      </c>
      <c r="B82" s="11">
        <v>2.92</v>
      </c>
    </row>
    <row r="83" ht="22.5" customHeight="1">
      <c r="A83" s="11">
        <v>4.24</v>
      </c>
      <c r="B83" s="11">
        <v>4.24</v>
      </c>
    </row>
    <row r="84" ht="22.5" customHeight="1">
      <c r="A84" s="11">
        <v>3.65</v>
      </c>
      <c r="B84" s="11">
        <v>3.65</v>
      </c>
    </row>
    <row r="85" ht="22.5" customHeight="1">
      <c r="A85" s="11">
        <v>3.95</v>
      </c>
      <c r="B85" s="11">
        <v>3.95</v>
      </c>
    </row>
    <row r="86" ht="22.5" customHeight="1">
      <c r="A86" s="11">
        <v>4.98</v>
      </c>
      <c r="B86" s="11">
        <v>4.98</v>
      </c>
    </row>
    <row r="87" ht="22.5" customHeight="1">
      <c r="A87" s="11">
        <v>2.86</v>
      </c>
      <c r="B87" s="11">
        <v>2.86</v>
      </c>
    </row>
    <row r="88" ht="22.5" customHeight="1">
      <c r="A88" s="11">
        <v>2.67</v>
      </c>
      <c r="B88" s="11">
        <v>2.67</v>
      </c>
    </row>
    <row r="89" ht="22.5" customHeight="1">
      <c r="A89" s="11">
        <v>3.64</v>
      </c>
      <c r="B89" s="11">
        <v>3.64</v>
      </c>
    </row>
    <row r="90" ht="22.5" customHeight="1">
      <c r="A90" s="11">
        <v>3.18</v>
      </c>
      <c r="B90" s="11">
        <v>3.18</v>
      </c>
    </row>
    <row r="91" ht="22.5" customHeight="1">
      <c r="A91" s="11">
        <v>3.46</v>
      </c>
      <c r="B91" s="11">
        <v>3.46</v>
      </c>
    </row>
    <row r="92" ht="22.5" customHeight="1">
      <c r="A92" s="11">
        <v>2.9</v>
      </c>
      <c r="B92" s="11">
        <v>2.9</v>
      </c>
    </row>
    <row r="93" ht="22.5" customHeight="1">
      <c r="A93" s="11">
        <v>2.72</v>
      </c>
      <c r="B93" s="11">
        <v>2.72</v>
      </c>
    </row>
    <row r="94" ht="22.5" customHeight="1">
      <c r="A94" s="11">
        <v>4.77</v>
      </c>
      <c r="B94" s="11">
        <v>4.77</v>
      </c>
    </row>
    <row r="95" ht="22.5" customHeight="1">
      <c r="A95" s="11">
        <v>3.88</v>
      </c>
      <c r="B95" s="11">
        <v>3.88</v>
      </c>
    </row>
    <row r="96" ht="22.5" customHeight="1">
      <c r="A96" s="11">
        <v>4.9</v>
      </c>
      <c r="B96" s="11">
        <v>4.9</v>
      </c>
    </row>
    <row r="97" ht="22.5" customHeight="1">
      <c r="A97" s="11">
        <v>4.77</v>
      </c>
      <c r="B97" s="11">
        <v>4.77</v>
      </c>
    </row>
    <row r="98" ht="22.5" customHeight="1">
      <c r="A98" s="11">
        <v>4.69</v>
      </c>
      <c r="B98" s="11">
        <v>4.69</v>
      </c>
    </row>
    <row r="99" ht="22.5" customHeight="1">
      <c r="A99" s="11">
        <v>4.19</v>
      </c>
      <c r="B99" s="11">
        <v>4.19</v>
      </c>
    </row>
    <row r="100" ht="22.5" customHeight="1">
      <c r="A100" s="11">
        <v>3.87</v>
      </c>
      <c r="B100" s="11">
        <v>3.87</v>
      </c>
    </row>
    <row r="101" ht="22.5" customHeight="1">
      <c r="A101" s="11">
        <v>4.97</v>
      </c>
      <c r="B101" s="11">
        <v>4.97</v>
      </c>
    </row>
    <row r="102" ht="22.5" customHeight="1">
      <c r="A102" s="11">
        <v>2.58</v>
      </c>
      <c r="B102" s="11">
        <v>2.58</v>
      </c>
    </row>
    <row r="103" ht="22.5" customHeight="1">
      <c r="A103" s="11">
        <v>3.66</v>
      </c>
      <c r="B103" s="11">
        <v>3.66</v>
      </c>
    </row>
    <row r="104" ht="22.5" customHeight="1">
      <c r="A104" s="11">
        <v>2.69</v>
      </c>
      <c r="B104" s="11">
        <v>2.69</v>
      </c>
    </row>
    <row r="105" ht="22.5" customHeight="1">
      <c r="A105" s="11">
        <v>4.99</v>
      </c>
      <c r="B105" s="11">
        <v>4.99</v>
      </c>
    </row>
    <row r="106" ht="22.5" customHeight="1">
      <c r="A106" s="11">
        <v>4.15</v>
      </c>
      <c r="B106" s="11">
        <v>4.15</v>
      </c>
    </row>
    <row r="108" ht="22.5" customHeight="1">
      <c r="A108" s="10" t="s">
        <v>4</v>
      </c>
      <c r="B108" s="10" t="s">
        <v>23</v>
      </c>
      <c r="C108" s="10" t="s">
        <v>52</v>
      </c>
      <c r="D108" s="10" t="s">
        <v>68</v>
      </c>
      <c r="E108" s="10" t="s">
        <v>87</v>
      </c>
      <c r="F108" s="10" t="s">
        <v>132</v>
      </c>
      <c r="G108" s="10" t="s">
        <v>143</v>
      </c>
      <c r="H108" s="10" t="s">
        <v>198</v>
      </c>
      <c r="I108" s="10" t="s">
        <v>210</v>
      </c>
      <c r="J108" s="10" t="s">
        <v>223</v>
      </c>
      <c r="K108" s="10" t="s">
        <v>235</v>
      </c>
      <c r="L108" s="10" t="s">
        <v>247</v>
      </c>
    </row>
    <row r="109" ht="22.5" customHeight="1">
      <c r="A109" s="12" t="s">
        <v>23</v>
      </c>
      <c r="B109" s="11">
        <v>13.39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</row>
    <row r="110" ht="22.5" customHeight="1">
      <c r="A110" s="12" t="s">
        <v>52</v>
      </c>
      <c r="B110" s="12"/>
      <c r="C110" s="11">
        <v>83.99</v>
      </c>
      <c r="D110" s="12"/>
      <c r="E110" s="12"/>
      <c r="F110" s="12"/>
      <c r="G110" s="12"/>
      <c r="H110" s="12"/>
      <c r="I110" s="12"/>
      <c r="J110" s="12"/>
      <c r="K110" s="12"/>
      <c r="L110" s="12"/>
    </row>
    <row r="111" ht="22.5" customHeight="1">
      <c r="A111" s="12" t="s">
        <v>68</v>
      </c>
      <c r="B111" s="12"/>
      <c r="C111" s="12"/>
      <c r="D111" s="11">
        <v>1199.99</v>
      </c>
      <c r="E111" s="12"/>
      <c r="F111" s="12"/>
      <c r="G111" s="12"/>
      <c r="H111" s="12"/>
      <c r="I111" s="12"/>
      <c r="J111" s="12"/>
      <c r="K111" s="12"/>
      <c r="L111" s="12"/>
    </row>
    <row r="112" ht="22.5" customHeight="1">
      <c r="A112" s="12" t="s">
        <v>87</v>
      </c>
      <c r="B112" s="12"/>
      <c r="C112" s="12"/>
      <c r="D112" s="12"/>
      <c r="E112" s="11">
        <v>5.46777777777777</v>
      </c>
      <c r="F112" s="12"/>
      <c r="G112" s="12"/>
      <c r="H112" s="12"/>
      <c r="I112" s="12"/>
      <c r="J112" s="12"/>
      <c r="K112" s="12"/>
      <c r="L112" s="12"/>
    </row>
    <row r="113" ht="22.5" customHeight="1">
      <c r="A113" s="12" t="s">
        <v>132</v>
      </c>
      <c r="B113" s="12"/>
      <c r="C113" s="12"/>
      <c r="D113" s="12"/>
      <c r="E113" s="12"/>
      <c r="F113" s="11">
        <v>38.9899999999999</v>
      </c>
      <c r="G113" s="12"/>
      <c r="H113" s="12"/>
      <c r="I113" s="12"/>
      <c r="J113" s="12"/>
      <c r="K113" s="12"/>
      <c r="L113" s="12"/>
    </row>
    <row r="114" ht="22.5" customHeight="1">
      <c r="A114" s="12" t="s">
        <v>143</v>
      </c>
      <c r="B114" s="12"/>
      <c r="C114" s="12"/>
      <c r="D114" s="12"/>
      <c r="E114" s="12"/>
      <c r="F114" s="12"/>
      <c r="G114" s="11">
        <v>17.69</v>
      </c>
      <c r="H114" s="12"/>
      <c r="I114" s="12"/>
      <c r="J114" s="12"/>
      <c r="K114" s="12"/>
      <c r="L114" s="12"/>
    </row>
    <row r="115" ht="22.5" customHeight="1">
      <c r="A115" s="12" t="s">
        <v>198</v>
      </c>
      <c r="B115" s="12"/>
      <c r="C115" s="12"/>
      <c r="D115" s="12"/>
      <c r="E115" s="12"/>
      <c r="F115" s="12"/>
      <c r="G115" s="12"/>
      <c r="H115" s="11">
        <v>1559.99</v>
      </c>
      <c r="I115" s="12"/>
      <c r="J115" s="12"/>
      <c r="K115" s="12"/>
      <c r="L115" s="12"/>
    </row>
    <row r="116" ht="22.5" customHeight="1">
      <c r="A116" s="12" t="s">
        <v>210</v>
      </c>
      <c r="B116" s="12"/>
      <c r="C116" s="12"/>
      <c r="D116" s="12"/>
      <c r="E116" s="12"/>
      <c r="F116" s="12"/>
      <c r="G116" s="12"/>
      <c r="H116" s="12"/>
      <c r="I116" s="11">
        <v>27.5899999999999</v>
      </c>
      <c r="J116" s="12"/>
      <c r="K116" s="12"/>
      <c r="L116" s="12"/>
    </row>
    <row r="117" ht="22.5" customHeight="1">
      <c r="A117" s="12" t="s">
        <v>223</v>
      </c>
      <c r="B117" s="12"/>
      <c r="C117" s="12"/>
      <c r="D117" s="12"/>
      <c r="E117" s="12"/>
      <c r="F117" s="12"/>
      <c r="G117" s="12"/>
      <c r="H117" s="12"/>
      <c r="I117" s="12"/>
      <c r="J117" s="11">
        <v>109.99</v>
      </c>
      <c r="K117" s="12"/>
      <c r="L117" s="12"/>
    </row>
    <row r="118" ht="22.5" customHeight="1">
      <c r="A118" s="12" t="s">
        <v>235</v>
      </c>
      <c r="B118" s="12"/>
      <c r="C118" s="12"/>
      <c r="D118" s="12"/>
      <c r="E118" s="12"/>
      <c r="F118" s="12"/>
      <c r="G118" s="12"/>
      <c r="H118" s="12"/>
      <c r="I118" s="12"/>
      <c r="J118" s="12"/>
      <c r="K118" s="11">
        <v>8098.32333333333</v>
      </c>
      <c r="L118" s="12"/>
    </row>
    <row r="119" ht="22.5" customHeight="1">
      <c r="A119" s="12" t="s">
        <v>247</v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1">
        <v>114.99</v>
      </c>
    </row>
    <row r="121" ht="22.5" customHeight="1">
      <c r="A121" s="10" t="s">
        <v>4</v>
      </c>
      <c r="B121" s="10" t="s">
        <v>143</v>
      </c>
      <c r="C121" s="10" t="s">
        <v>87</v>
      </c>
      <c r="D121" s="10" t="s">
        <v>235</v>
      </c>
      <c r="E121" s="10" t="s">
        <v>23</v>
      </c>
      <c r="F121" s="10" t="s">
        <v>52</v>
      </c>
      <c r="G121" s="10" t="s">
        <v>68</v>
      </c>
      <c r="H121" s="10" t="s">
        <v>132</v>
      </c>
      <c r="I121" s="10" t="s">
        <v>198</v>
      </c>
      <c r="J121" s="10" t="s">
        <v>210</v>
      </c>
      <c r="K121" s="10" t="s">
        <v>223</v>
      </c>
      <c r="L121" s="10" t="s">
        <v>247</v>
      </c>
    </row>
    <row r="122" ht="22.5" customHeight="1">
      <c r="A122" s="12" t="s">
        <v>23</v>
      </c>
      <c r="B122" s="12"/>
      <c r="C122" s="12"/>
      <c r="D122" s="12"/>
      <c r="E122" s="11">
        <v>5.0</v>
      </c>
      <c r="F122" s="12"/>
      <c r="G122" s="12"/>
      <c r="H122" s="12"/>
      <c r="I122" s="12"/>
      <c r="J122" s="12"/>
      <c r="K122" s="12"/>
      <c r="L122" s="12"/>
    </row>
    <row r="123" ht="22.5" customHeight="1">
      <c r="A123" s="12" t="s">
        <v>52</v>
      </c>
      <c r="B123" s="12"/>
      <c r="C123" s="12"/>
      <c r="D123" s="12"/>
      <c r="E123" s="12"/>
      <c r="F123" s="11">
        <v>5.0</v>
      </c>
      <c r="G123" s="12"/>
      <c r="H123" s="12"/>
      <c r="I123" s="12"/>
      <c r="J123" s="12"/>
      <c r="K123" s="12"/>
      <c r="L123" s="12"/>
    </row>
    <row r="124" ht="22.5" customHeight="1">
      <c r="A124" s="12" t="s">
        <v>68</v>
      </c>
      <c r="B124" s="12"/>
      <c r="C124" s="12"/>
      <c r="D124" s="12"/>
      <c r="E124" s="12"/>
      <c r="F124" s="12"/>
      <c r="G124" s="11">
        <v>5.0</v>
      </c>
      <c r="H124" s="12"/>
      <c r="I124" s="12"/>
      <c r="J124" s="12"/>
      <c r="K124" s="12"/>
      <c r="L124" s="12"/>
    </row>
    <row r="125" ht="22.5" customHeight="1">
      <c r="A125" s="12" t="s">
        <v>87</v>
      </c>
      <c r="B125" s="12"/>
      <c r="C125" s="11">
        <v>27.0</v>
      </c>
      <c r="D125" s="12"/>
      <c r="E125" s="12"/>
      <c r="F125" s="12"/>
      <c r="G125" s="12"/>
      <c r="H125" s="12"/>
      <c r="I125" s="12"/>
      <c r="J125" s="12"/>
      <c r="K125" s="12"/>
      <c r="L125" s="12"/>
    </row>
    <row r="126" ht="22.5" customHeight="1">
      <c r="A126" s="12" t="s">
        <v>132</v>
      </c>
      <c r="B126" s="12"/>
      <c r="C126" s="12"/>
      <c r="D126" s="12"/>
      <c r="E126" s="12"/>
      <c r="F126" s="12"/>
      <c r="G126" s="12"/>
      <c r="H126" s="11">
        <v>5.0</v>
      </c>
      <c r="I126" s="12"/>
      <c r="J126" s="12"/>
      <c r="K126" s="12"/>
      <c r="L126" s="12"/>
    </row>
    <row r="127" ht="22.5" customHeight="1">
      <c r="A127" s="12" t="s">
        <v>143</v>
      </c>
      <c r="B127" s="11">
        <v>30.0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</row>
    <row r="128" ht="22.5" customHeight="1">
      <c r="A128" s="12" t="s">
        <v>198</v>
      </c>
      <c r="B128" s="12"/>
      <c r="C128" s="12"/>
      <c r="D128" s="12"/>
      <c r="E128" s="12"/>
      <c r="F128" s="12"/>
      <c r="G128" s="12"/>
      <c r="H128" s="12"/>
      <c r="I128" s="11">
        <v>5.0</v>
      </c>
      <c r="J128" s="12"/>
      <c r="K128" s="12"/>
      <c r="L128" s="12"/>
    </row>
    <row r="129" ht="22.5" customHeight="1">
      <c r="A129" s="12" t="s">
        <v>210</v>
      </c>
      <c r="B129" s="12"/>
      <c r="C129" s="12"/>
      <c r="D129" s="12"/>
      <c r="E129" s="12"/>
      <c r="F129" s="12"/>
      <c r="G129" s="12"/>
      <c r="H129" s="12"/>
      <c r="I129" s="12"/>
      <c r="J129" s="11">
        <v>5.0</v>
      </c>
      <c r="K129" s="12"/>
      <c r="L129" s="12"/>
    </row>
    <row r="130" ht="22.5" customHeight="1">
      <c r="A130" s="12" t="s">
        <v>223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1">
        <v>5.0</v>
      </c>
      <c r="L130" s="12"/>
    </row>
    <row r="131" ht="22.5" customHeight="1">
      <c r="A131" s="12" t="s">
        <v>235</v>
      </c>
      <c r="B131" s="12"/>
      <c r="C131" s="12"/>
      <c r="D131" s="11">
        <v>6.0</v>
      </c>
      <c r="E131" s="12"/>
      <c r="F131" s="12"/>
      <c r="G131" s="12"/>
      <c r="H131" s="12"/>
      <c r="I131" s="12"/>
      <c r="J131" s="12"/>
      <c r="K131" s="12"/>
      <c r="L131" s="12"/>
    </row>
    <row r="132" ht="22.5" customHeight="1">
      <c r="A132" s="12" t="s">
        <v>247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1">
        <v>2.0</v>
      </c>
    </row>
  </sheetData>
  <mergeCells count="1">
    <mergeCell ref="A4:E4"/>
  </mergeCells>
  <dataValidations>
    <dataValidation type="custom" allowBlank="1" showDropDown="1" sqref="A7:B106 B109:L119 B122:L132">
      <formula1>AND(ISNUMBER(A7),(NOT(OR(NOT(ISERROR(DATEVALUE(A7))), AND(ISNUMBER(A7), LEFT(CELL("format", A7))="D")))))</formula1>
    </dataValidation>
  </dataValidations>
  <drawing r:id="rId1"/>
  <tableParts count="3">
    <tablePart r:id="rId5"/>
    <tablePart r:id="rId6"/>
    <tablePart r:id="rId7"/>
  </tableParts>
</worksheet>
</file>